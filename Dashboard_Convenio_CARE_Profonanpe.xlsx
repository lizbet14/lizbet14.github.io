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" sheetId="1" state="visible" r:id="rId3"/>
    <sheet name="Entregables" sheetId="2" state="visible" r:id="rId4"/>
    <sheet name="Desembolsos" sheetId="3" state="visible" r:id="rId5"/>
    <sheet name="Vistas" sheetId="4" state="visible" r:id="rId6"/>
    <sheet name="Línea de tiempo" sheetId="5" state="visible" r:id="rId7"/>
    <sheet name="Comparativo" sheetId="6" state="visible" r:id="rId8"/>
    <sheet name="Paso a paso" sheetId="7" state="visible" r:id="rId9"/>
    <sheet name="Dudas" sheetId="8" state="visible" r:id="rId10"/>
    <sheet name="Parámetros" sheetId="9" state="visible" r:id="rId11"/>
    <sheet name="Datos gráficos" sheetId="10" state="visible" r:id="rId12"/>
  </sheets>
  <definedNames>
    <definedName function="false" hidden="true" localSheetId="1" name="_xlnm._FilterDatabase" vbProcedure="false">Entregables!$A$4:$Z$9</definedName>
    <definedName function="false" hidden="false" name="Cierre" vbProcedure="false">Parámetros!$C$7</definedName>
    <definedName function="false" hidden="false" name="DiasAmpliacion" vbProcedure="false">Parámetros!$C$14</definedName>
    <definedName function="false" hidden="false" name="DiasAviso" vbProcedure="false">Panel!$F$7</definedName>
    <definedName function="false" hidden="false" name="DiasConvenio" vbProcedure="false">Parámetros!$C$6</definedName>
    <definedName function="false" hidden="false" name="DiasSaldo4" vbProcedure="false">Parámetros!$C$15</definedName>
    <definedName function="false" hidden="false" name="DiasSubsanar" vbProcedure="false">Parámetros!$C$13</definedName>
    <definedName function="false" hidden="false" name="FechaRef" vbProcedure="false">Panel!$D$7</definedName>
    <definedName function="false" hidden="false" name="FiltroEstado" vbProcedure="false">Panel!$H$7</definedName>
    <definedName function="false" hidden="false" name="FinOriginal" vbProcedure="false">Parámetros!$C$12</definedName>
    <definedName function="false" hidden="false" name="Inicio" vbProcedure="false">Parámetros!$C$5</definedName>
    <definedName function="false" hidden="false" name="ProdSel" vbProcedure="false">Panel!$K$7</definedName>
    <definedName function="false" hidden="false" name="Rendicion" vbProcedure="false">Parámetros!$C$11</definedName>
    <definedName function="false" hidden="false" name="TotalCARE" vbProcedure="false">Parámetros!$C$8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Montos de la cláusula 9.1 del Convenio N.° 130P-2025000001.</t>
        </r>
      </text>
    </comment>
  </commentList>
</comments>
</file>

<file path=xl/sharedStrings.xml><?xml version="1.0" encoding="utf-8"?>
<sst xmlns="http://schemas.openxmlformats.org/spreadsheetml/2006/main" count="663" uniqueCount="383">
  <si>
    <t xml:space="preserve">Cronograma de entregables y desembolsos</t>
  </si>
  <si>
    <t xml:space="preserve">Convenio de Donación N.° 130P-2025000001 · CARE (Asociación Central Asháninka del Río Ene) y Profonanpe · Proyecto ASL2 · Plazos vigentes de la Adenda N.° 01 (27/04/2026)</t>
  </si>
  <si>
    <t xml:space="preserve">▸ Entregables</t>
  </si>
  <si>
    <t xml:space="preserve">▸ Desembolsos</t>
  </si>
  <si>
    <t xml:space="preserve">▸ Vistas por estado</t>
  </si>
  <si>
    <t xml:space="preserve">▸ Línea de tiempo</t>
  </si>
  <si>
    <t xml:space="preserve">▸ Comparativo</t>
  </si>
  <si>
    <t xml:space="preserve">▸ Paso a paso</t>
  </si>
  <si>
    <t xml:space="preserve">▸ Dudas</t>
  </si>
  <si>
    <t xml:space="preserve">Fecha ref. (vacío = hoy)</t>
  </si>
  <si>
    <t xml:space="preserve">Fecha usada</t>
  </si>
  <si>
    <t xml:space="preserve">Aviso «por vencer» (días)</t>
  </si>
  <si>
    <t xml:space="preserve">Filtro de la tabla de productos</t>
  </si>
  <si>
    <t xml:space="preserve">Producto a consultar (ficha)</t>
  </si>
  <si>
    <t xml:space="preserve">Todos</t>
  </si>
  <si>
    <t xml:space="preserve">Producto 3</t>
  </si>
  <si>
    <t xml:space="preserve">Celdas amarillas = editables. Los botones de color abren la lista de cada estado. Registra entregas, revisiones, pagos y rendiciones en las hojas Entregables y Desembolsos.</t>
  </si>
  <si>
    <t xml:space="preserve">PRÓXIMO VENCIMIENTO</t>
  </si>
  <si>
    <t xml:space="preserve">PRODUCTOS VENCIDOS</t>
  </si>
  <si>
    <t xml:space="preserve">PRODUCTOS POR VENCER</t>
  </si>
  <si>
    <t xml:space="preserve">PRODUCTOS ENTREGADOS / APROBADOS</t>
  </si>
  <si>
    <t xml:space="preserve">MONTO DEL CONVENIO A CARE</t>
  </si>
  <si>
    <t xml:space="preserve">DESEMBOLSADO</t>
  </si>
  <si>
    <t xml:space="preserve">LISTO PARA SOLICITAR</t>
  </si>
  <si>
    <t xml:space="preserve">SALDO POR RENDIR</t>
  </si>
  <si>
    <t xml:space="preserve">Botones de estado · Productos (haz clic para ver la lista)</t>
  </si>
  <si>
    <t xml:space="preserve">Botones de estado · Desembolsos (haz clic para ver la lista)</t>
  </si>
  <si>
    <t xml:space="preserve">Avance físico (productos entregados, % Adenda)</t>
  </si>
  <si>
    <t xml:space="preserve">Ejecución financiera (desembolsado / total)</t>
  </si>
  <si>
    <t xml:space="preserve">Rendición (rendido / desembolsado)</t>
  </si>
  <si>
    <t xml:space="preserve">Tiempo transcurrido del convenio</t>
  </si>
  <si>
    <t xml:space="preserve">Línea de tiempo de los productos (plazos de la Adenda N.° 01)</t>
  </si>
  <si>
    <t xml:space="preserve">Producto</t>
  </si>
  <si>
    <t xml:space="preserve">Título</t>
  </si>
  <si>
    <t xml:space="preserve">Fecha límite</t>
  </si>
  <si>
    <t xml:space="preserve">Días restantes</t>
  </si>
  <si>
    <t xml:space="preserve">Estado</t>
  </si>
  <si>
    <t xml:space="preserve">Situación</t>
  </si>
  <si>
    <t xml:space="preserve">Desemb.</t>
  </si>
  <si>
    <t xml:space="preserve">Desembolsos (cláusula novena) y rendiciones</t>
  </si>
  <si>
    <t xml:space="preserve">Monto</t>
  </si>
  <si>
    <t xml:space="preserve">Lo habilita</t>
  </si>
  <si>
    <t xml:space="preserve">Fecha límite producto</t>
  </si>
  <si>
    <t xml:space="preserve">¿Aprobado?</t>
  </si>
  <si>
    <t xml:space="preserve">¿Rendición previa?</t>
  </si>
  <si>
    <t xml:space="preserve">Siguiente paso</t>
  </si>
  <si>
    <t xml:space="preserve">Fecha de pago</t>
  </si>
  <si>
    <t xml:space="preserve">Total</t>
  </si>
  <si>
    <t xml:space="preserve">Montos y requisitos de la cláusula 9.1. La rendición previa exige el 70 % del pago anterior (y el 100 % del penúltimo).</t>
  </si>
  <si>
    <t xml:space="preserve">Indicadores gráficos</t>
  </si>
  <si>
    <t xml:space="preserve">Estado del dinero (S/ 471,250)</t>
  </si>
  <si>
    <t xml:space="preserve">Monto por desembolso y estado</t>
  </si>
  <si>
    <t xml:space="preserve">Productos por estado</t>
  </si>
  <si>
    <t xml:space="preserve">Plazo vigente (Adenda)</t>
  </si>
  <si>
    <t xml:space="preserve">Plazo original y prórroga</t>
  </si>
  <si>
    <t xml:space="preserve">Puntualidad de la entrega</t>
  </si>
  <si>
    <t xml:space="preserve">% de avance (Adenda)</t>
  </si>
  <si>
    <t xml:space="preserve">Desembolso vinculado</t>
  </si>
  <si>
    <t xml:space="preserve">Conformidad de FAO en</t>
  </si>
  <si>
    <t xml:space="preserve">Contenidos ((*) = producto clave)</t>
  </si>
  <si>
    <t xml:space="preserve">Fuentes: Convenio de Donación N.° 130P-2025000001 (16/10/2025) y Adenda N.° 01 (27/04/2026). Fechas calculadas desde la fecha de inicio en Parámetros. Herramienta de apoyo administrativo; no reemplaza la revisión del área legal.</t>
  </si>
  <si>
    <t xml:space="preserve">← Volver al Panel</t>
  </si>
  <si>
    <t xml:space="preserve">Entregables (plazos vigentes de la Adenda N.° 01)</t>
  </si>
  <si>
    <t xml:space="preserve">Cláusula sexta modificada por la Adenda N.° 01 (27/04/2026). Días calendario contados desde la fecha de inicio (Parámetros).</t>
  </si>
  <si>
    <t xml:space="preserve">▼ Edita las columnas amarillas (L a Q)</t>
  </si>
  <si>
    <t xml:space="preserve">Código</t>
  </si>
  <si>
    <t xml:space="preserve">Parte</t>
  </si>
  <si>
    <t xml:space="preserve">Etiqueta</t>
  </si>
  <si>
    <t xml:space="preserve">Plazo Adenda (días)</t>
  </si>
  <si>
    <t xml:space="preserve">Inicio de ventana</t>
  </si>
  <si>
    <t xml:space="preserve">Fecha límite (Adenda)</t>
  </si>
  <si>
    <t xml:space="preserve">Día de inicio</t>
  </si>
  <si>
    <t xml:space="preserve">% avance (Adenda)</t>
  </si>
  <si>
    <t xml:space="preserve">Desembolso</t>
  </si>
  <si>
    <t xml:space="preserve">¿Entregado?</t>
  </si>
  <si>
    <t xml:space="preserve">Fecha de entrega real</t>
  </si>
  <si>
    <t xml:space="preserve">Revisión UGP / FAO</t>
  </si>
  <si>
    <t xml:space="preserve">Fecha de observación</t>
  </si>
  <si>
    <t xml:space="preserve">Plazo para subsanar</t>
  </si>
  <si>
    <t xml:space="preserve">Fecha de conformidad</t>
  </si>
  <si>
    <t xml:space="preserve">Puntualidad</t>
  </si>
  <si>
    <t xml:space="preserve">Plazo original (días)</t>
  </si>
  <si>
    <t xml:space="preserve">Fecha original</t>
  </si>
  <si>
    <t xml:space="preserve">Días de prórroga</t>
  </si>
  <si>
    <t xml:space="preserve">Conformidad FAO en</t>
  </si>
  <si>
    <t xml:space="preserve">Contenidos</t>
  </si>
  <si>
    <t xml:space="preserve">Coincide filtro</t>
  </si>
  <si>
    <t xml:space="preserve">Orden filtro</t>
  </si>
  <si>
    <t xml:space="preserve">Por entregar</t>
  </si>
  <si>
    <t xml:space="preserve">Por vencer</t>
  </si>
  <si>
    <t xml:space="preserve">Vencido</t>
  </si>
  <si>
    <t xml:space="preserve">En revisión</t>
  </si>
  <si>
    <t xml:space="preserve">Observado</t>
  </si>
  <si>
    <t xml:space="preserve">Aprobado</t>
  </si>
  <si>
    <t xml:space="preserve">P1</t>
  </si>
  <si>
    <t xml:space="preserve">Producto 1</t>
  </si>
  <si>
    <t xml:space="preserve">Plan de trabajo y cronograma</t>
  </si>
  <si>
    <t xml:space="preserve">D1</t>
  </si>
  <si>
    <t xml:space="preserve">Sí</t>
  </si>
  <si>
    <t xml:space="preserve">el plan de trabajo y la metodología</t>
  </si>
  <si>
    <t xml:space="preserve">• Plan de trabajo detallado (actividades, subactividades, indicadores de avance), metodología y cronograma a 18 meses. (*)</t>
  </si>
  <si>
    <t xml:space="preserve">P2-I</t>
  </si>
  <si>
    <t xml:space="preserve">Producto 2</t>
  </si>
  <si>
    <t xml:space="preserve">Parte I</t>
  </si>
  <si>
    <t xml:space="preserve">Plan de capacitación y avances</t>
  </si>
  <si>
    <t xml:space="preserve">D2</t>
  </si>
  <si>
    <t xml:space="preserve">No</t>
  </si>
  <si>
    <t xml:space="preserve">el plan de fortalecimiento de capacidades</t>
  </si>
  <si>
    <t xml:space="preserve">• Plan de capacitación en recuperación: perfiles, competencias, capacidades e indicadores de logro. (*)
• Informe de ejecución de los módulos 1 y 2 del plan de capacitación en recuperación y conectividad «Tsimeeri».
• Informe de avances en planes de vida en las 03 CCNN.</t>
  </si>
  <si>
    <t xml:space="preserve">P2-II</t>
  </si>
  <si>
    <t xml:space="preserve">Parte II</t>
  </si>
  <si>
    <t xml:space="preserve">Plan de recuperación y fichas</t>
  </si>
  <si>
    <t xml:space="preserve">el plan del piloto de recuperación</t>
  </si>
  <si>
    <t xml:space="preserve">• Plan de recuperación y conectividad consensuado con CCNN y actas de aprobación. (*)
• Fichas de caracterización de áreas de recuperación.
• Informe de ejecución de los módulos 3 y 4 del plan «Tsimeeri».</t>
  </si>
  <si>
    <t xml:space="preserve">P3</t>
  </si>
  <si>
    <t xml:space="preserve">Pasantía, plantaciones y planes de vida</t>
  </si>
  <si>
    <t xml:space="preserve">D3</t>
  </si>
  <si>
    <t xml:space="preserve">el informe final de implementación de planes de vida</t>
  </si>
  <si>
    <t xml:space="preserve">• Informe de pasantía en recuperación: aprendizajes, lecciones y hallazgos replicables.
• Evaluación temprana de plantaciones según el modelo de recuperación seleccionado y adaptado.
• Informe de avances en acciones de recuperación, por comunidad y paisaje.
• Informe (final) de implementación de planes de vida, con enfoque de género. (*)</t>
  </si>
  <si>
    <t xml:space="preserve">P4</t>
  </si>
  <si>
    <t xml:space="preserve">Producto 4</t>
  </si>
  <si>
    <t xml:space="preserve">Informe final y resultados</t>
  </si>
  <si>
    <t xml:space="preserve">D4</t>
  </si>
  <si>
    <t xml:space="preserve">el informe final del piloto (2,500 ha) y los resultados de capacitación</t>
  </si>
  <si>
    <t xml:space="preserve">• Informe final de 2,500 hectáreas que iniciaron su proceso de recuperación. (*)
• Fichas y matrices de monitoreo de la recuperación, con indicadores verificables.
• Reporte de acciones y evidencias de monitoreo.
• Evidencias de capacidades en recuperación fortalecidas en 60 líderes indígenas locales. (*)
• Informe y evidencias de resultados e impactos de los 03 planes de vida.
• Indicadores de resultados e impactos del enfoque de género.</t>
  </si>
  <si>
    <t xml:space="preserve">(*) Productos clave que requieren conformidad técnica de FAO (cláusula 8.2 y tabla 1 de la Adenda).</t>
  </si>
  <si>
    <t xml:space="preserve">Estado: Por entregar → Por vencer (faltan menos días que el aviso) → Vencido (pasó la fecha sin marcar «Sí»). Al marcar «Sí» pasa a En revisión; con la revisión «Observado» u «Conforme» cambia a Observado o Aprobado.</t>
  </si>
  <si>
    <t xml:space="preserve">Del Producto 1 solo hay constancia de su presentación el 30/11/2025 (Adenda, punto 1.4). Su conformidad no figura en los documentos: actualiza la columna N cuando la tengas.</t>
  </si>
  <si>
    <t xml:space="preserve">Columnas V a X: plazo del convenio original (cláusula 6) y prórroga que otorgó la Adenda. Columnas AA en adelante: auxiliares de los botones y filtros.</t>
  </si>
  <si>
    <t xml:space="preserve">Desembolsos y rendiciones (cláusula novena)</t>
  </si>
  <si>
    <t xml:space="preserve">Profonanpe transfiere en 4 pagos, previa opinión técnica, conformidades y rendición del pago anterior (cláusulas 9.1, 9.3 y 11.2).</t>
  </si>
  <si>
    <t xml:space="preserve">▼ Edita O, P y Q</t>
  </si>
  <si>
    <t xml:space="preserve">N°</t>
  </si>
  <si>
    <t xml:space="preserve">Monto (S/)</t>
  </si>
  <si>
    <t xml:space="preserve">% del convenio</t>
  </si>
  <si>
    <t xml:space="preserve">% cláusula 9.1</t>
  </si>
  <si>
    <t xml:space="preserve">Días según 9.1</t>
  </si>
  <si>
    <t xml:space="preserve">Fecha según 9.1</t>
  </si>
  <si>
    <t xml:space="preserve">Producto(s) que lo habilitan</t>
  </si>
  <si>
    <t xml:space="preserve">Código habilitante</t>
  </si>
  <si>
    <t xml:space="preserve">Fecha límite del producto (Adenda)</t>
  </si>
  <si>
    <t xml:space="preserve">Diferencia (días)</t>
  </si>
  <si>
    <t xml:space="preserve">¿Producto presentado?</t>
  </si>
  <si>
    <t xml:space="preserve">¿Producto aprobado?</t>
  </si>
  <si>
    <t xml:space="preserve">Rendición previa requerida</t>
  </si>
  <si>
    <t xml:space="preserve">¿Rendición previa cumplida?</t>
  </si>
  <si>
    <t xml:space="preserve">¿Desembolsado?</t>
  </si>
  <si>
    <t xml:space="preserve">Fecha de desembolso</t>
  </si>
  <si>
    <t xml:space="preserve">Monto rendido por CARE (S/)</t>
  </si>
  <si>
    <t xml:space="preserve">% rendido</t>
  </si>
  <si>
    <t xml:space="preserve">Saldo por rendir (S/)</t>
  </si>
  <si>
    <t xml:space="preserve">Desembolsado (S/)</t>
  </si>
  <si>
    <t xml:space="preserve">Listo para solicitar (S/)</t>
  </si>
  <si>
    <t xml:space="preserve">Falta rendición (S/)</t>
  </si>
  <si>
    <t xml:space="preserve">En conformidad (S/)</t>
  </si>
  <si>
    <t xml:space="preserve">Pendiente de producto (S/)</t>
  </si>
  <si>
    <t xml:space="preserve">Requisitos</t>
  </si>
  <si>
    <t xml:space="preserve">Desembolsado</t>
  </si>
  <si>
    <t xml:space="preserve">Listo para solicitar</t>
  </si>
  <si>
    <t xml:space="preserve">Falta rendición</t>
  </si>
  <si>
    <t xml:space="preserve">En conformidad</t>
  </si>
  <si>
    <t xml:space="preserve">Pendiente de producto</t>
  </si>
  <si>
    <t xml:space="preserve">• Presentar el Producto 1.
• Opinión técnica del Componente 2, conformidad del Coordinador Técnico y conformidad técnica de FAO.</t>
  </si>
  <si>
    <t xml:space="preserve">Producto 2 (Parte I y Parte II)</t>
  </si>
  <si>
    <t xml:space="preserve">• Presentar el Producto 2.
• Conformidades técnicas (Componente 2, Coordinación y FAO).
• Rendición ≥ 70 % del 1.er desembolso.
• Informe de recursos financiados.</t>
  </si>
  <si>
    <t xml:space="preserve">• Presentar el Producto 3.
• Conformidades técnicas (Componente 2, Coordinación y FAO).
• Rendición del 30 % restante del 1.º y ≥ 70 % del 2.º.
• Informe de recursos financiados.</t>
  </si>
  <si>
    <t xml:space="preserve">• Presentar el Producto 4 (informe final).
• Conformidades técnicas (Componente 2, Coordinación y FAO).
• Rendición del 30 % restante del 2.º y ≥ 70 % del 3.º.
• Informe de recursos financiados o de contrapartida.
• El saldo del 4.º se rinde a más tardar 10 días después del informe final (cl. 9.2).</t>
  </si>
  <si>
    <t xml:space="preserve">La «fecha según 9.1» es la del convenio original y no fue actualizada por la Adenda: hoy cae antes del producto que habilita cada pago. En la práctica el pago llega tras presentar el producto y reunir conformidades.</t>
  </si>
  <si>
    <t xml:space="preserve">Estado: Pendiente de producto → En conformidad (producto presentado, falta aprobación) → Falta rendición (aprobado, pero no se cumple la rendición previa) → Listo para solicitar → Desembolsado.</t>
  </si>
  <si>
    <t xml:space="preserve">Se asume que el Desembolso 2 requiere las dos partes del Producto 2 (punto por aclarar con Profonanpe, ver hoja Dudas).</t>
  </si>
  <si>
    <t xml:space="preserve">Vistas por estado</t>
  </si>
  <si>
    <t xml:space="preserve">Destino de los botones del Panel. Cada bloque lista los productos o desembolsos en ese estado, según la fecha de referencia.</t>
  </si>
  <si>
    <t xml:space="preserve">Índice</t>
  </si>
  <si>
    <t xml:space="preserve">Productos:</t>
  </si>
  <si>
    <t xml:space="preserve">Desembolsos:</t>
  </si>
  <si>
    <t xml:space="preserve">↑ Índice</t>
  </si>
  <si>
    <t xml:space="preserve">← Panel</t>
  </si>
  <si>
    <t xml:space="preserve">Fecha de entrega</t>
  </si>
  <si>
    <t xml:space="preserve">% convenio</t>
  </si>
  <si>
    <t xml:space="preserve">Saldo por rendir</t>
  </si>
  <si>
    <t xml:space="preserve">Línea de tiempo semanal (plazos de la Adenda N.° 01)</t>
  </si>
  <si>
    <t xml:space="preserve">Cada celda es una semana (empieza en lunes). El color sigue el estado de cada producto; la columna amarilla y ▼ marcan la semana de la fecha de referencia.</t>
  </si>
  <si>
    <t xml:space="preserve">Inicio</t>
  </si>
  <si>
    <t xml:space="preserve">Cierre del convenio</t>
  </si>
  <si>
    <t xml:space="preserve">Cierre</t>
  </si>
  <si>
    <t xml:space="preserve">Leyenda</t>
  </si>
  <si>
    <t xml:space="preserve">Semana de referencia</t>
  </si>
  <si>
    <t xml:space="preserve">Comparativo: convenio original frente a la Adenda N.° 01</t>
  </si>
  <si>
    <t xml:space="preserve">Cómo cambiaron los plazos de los productos y por qué las fechas de pago de la cláusula 9.1 ya no coinciden con los entregables.</t>
  </si>
  <si>
    <t xml:space="preserve">1. Plazos de los productos: convenio original y Adenda N.° 01</t>
  </si>
  <si>
    <t xml:space="preserve">Cláusula 6 original (días)</t>
  </si>
  <si>
    <t xml:space="preserve">Anexo I y cl. 9.1 (días)</t>
  </si>
  <si>
    <t xml:space="preserve">Fecha Anexo I</t>
  </si>
  <si>
    <t xml:space="preserve">Adenda N.° 01 (días)</t>
  </si>
  <si>
    <t xml:space="preserve">Fecha vigente</t>
  </si>
  <si>
    <t xml:space="preserve">Prórroga (días)</t>
  </si>
  <si>
    <t xml:space="preserve">Producto 2 · Parte I</t>
  </si>
  <si>
    <t xml:space="preserve">Producto 2 · Parte II</t>
  </si>
  <si>
    <t xml:space="preserve">Fin del convenio</t>
  </si>
  <si>
    <t xml:space="preserve">En el convenio original el Producto 2 era un solo entregable (día 180); la Adenda lo divide en Parte I (día 196) y Parte II (día 257).</t>
  </si>
  <si>
    <t xml:space="preserve">2. Cada pago frente al entregable que lo habilita</t>
  </si>
  <si>
    <t xml:space="preserve">Producto que lo habilita</t>
  </si>
  <si>
    <t xml:space="preserve">Fecha límite vigente</t>
  </si>
  <si>
    <t xml:space="preserve">Estado del pago</t>
  </si>
  <si>
    <t xml:space="preserve">3. Reparto del pago: cláusula 9.1 frente a los porcentajes de la Adenda</t>
  </si>
  <si>
    <t xml:space="preserve">Etapa</t>
  </si>
  <si>
    <t xml:space="preserve">Cláusula 9.1</t>
  </si>
  <si>
    <t xml:space="preserve">Acumulado 9.1</t>
  </si>
  <si>
    <t xml:space="preserve">Adenda (tabla 1)</t>
  </si>
  <si>
    <t xml:space="preserve">Acumulado Adenda</t>
  </si>
  <si>
    <t xml:space="preserve">Diferencia (puntos)</t>
  </si>
  <si>
    <t xml:space="preserve">Diferencia en S/</t>
  </si>
  <si>
    <t xml:space="preserve">Producto 2 (Partes I y II)</t>
  </si>
  <si>
    <t xml:space="preserve">4. Vigencia del convenio</t>
  </si>
  <si>
    <t xml:space="preserve">Concepto</t>
  </si>
  <si>
    <t xml:space="preserve">Convenio original</t>
  </si>
  <si>
    <t xml:space="preserve">Adenda N.° 01</t>
  </si>
  <si>
    <t xml:space="preserve">Diferencia</t>
  </si>
  <si>
    <t xml:space="preserve">Duración</t>
  </si>
  <si>
    <t xml:space="preserve">18 meses</t>
  </si>
  <si>
    <t xml:space="preserve">19 meses y 19 días</t>
  </si>
  <si>
    <t xml:space="preserve">Desde</t>
  </si>
  <si>
    <t xml:space="preserve">Hasta</t>
  </si>
  <si>
    <t xml:space="preserve">Días totales</t>
  </si>
  <si>
    <t xml:space="preserve">Paso a paso y significado de cada estado</t>
  </si>
  <si>
    <t xml:space="preserve">Cómo se arma el cronograma, qué significa cada botón y cómo se llega a un desembolso.</t>
  </si>
  <si>
    <t xml:space="preserve">Qué significa cada botón</t>
  </si>
  <si>
    <t xml:space="preserve">Cuándo aparece</t>
  </si>
  <si>
    <t xml:space="preserve">Qué hacer</t>
  </si>
  <si>
    <t xml:space="preserve">El producto no se ha marcado como entregado y faltan más días que el aviso elegido.</t>
  </si>
  <si>
    <t xml:space="preserve">Planificar la entrega.</t>
  </si>
  <si>
    <t xml:space="preserve">Faltan menos días que el aviso (15 a 90 días) para la fecha límite de la Adenda.</t>
  </si>
  <si>
    <t xml:space="preserve">Priorizar y preparar el producto.</t>
  </si>
  <si>
    <t xml:space="preserve">Pasó la fecha límite y no se marcó como entregado.</t>
  </si>
  <si>
    <t xml:space="preserve">Confirmar si se entregó; si no, comunicar a la UGP.</t>
  </si>
  <si>
    <t xml:space="preserve">Marcado como entregado; la UGP (10 días hábiles) y FAO (7 días hábiles) revisan.</t>
  </si>
  <si>
    <t xml:space="preserve">Hacer seguimiento a la conformidad.</t>
  </si>
  <si>
    <t xml:space="preserve">La UGP o FAO hicieron observaciones (revisión = Observado).</t>
  </si>
  <si>
    <t xml:space="preserve">Subsanar en 7 días calendario (+5 con pedido escrito).</t>
  </si>
  <si>
    <t xml:space="preserve">Revisión = Conforme: opinión técnica, conformidad del Coordinador y de FAO.</t>
  </si>
  <si>
    <t xml:space="preserve">Revisar si el desembolso ya puede solicitarse.</t>
  </si>
  <si>
    <t xml:space="preserve">Desembolso cuyo producto aún no se presenta.</t>
  </si>
  <si>
    <t xml:space="preserve">Presentar el producto.</t>
  </si>
  <si>
    <t xml:space="preserve">Producto presentado, pero aún no aprobado.</t>
  </si>
  <si>
    <t xml:space="preserve">Conseguir las conformidades.</t>
  </si>
  <si>
    <t xml:space="preserve">Producto aprobado, pero no se cumple la rendición previa (70 % / 100 %).</t>
  </si>
  <si>
    <t xml:space="preserve">Rendir con el Formato R-1 y comprobantes (Anexo II).</t>
  </si>
  <si>
    <t xml:space="preserve">Producto aprobado y rendición previa cumplida.</t>
  </si>
  <si>
    <t xml:space="preserve">La UGP pide el desembolso por escrito a Profonanpe (cl. 9.3).</t>
  </si>
  <si>
    <t xml:space="preserve">Se marcó el pago como recibido.</t>
  </si>
  <si>
    <t xml:space="preserve">Registrar lo que se va rindiendo.</t>
  </si>
  <si>
    <t xml:space="preserve">Cómo se arma este cronograma</t>
  </si>
  <si>
    <t xml:space="preserve">Paso</t>
  </si>
  <si>
    <t xml:space="preserve">Detalle</t>
  </si>
  <si>
    <t xml:space="preserve">Plazo</t>
  </si>
  <si>
    <t xml:space="preserve">Se toma la fecha base</t>
  </si>
  <si>
    <t xml:space="preserve">El convenio corre desde el 16/10/2025 (cláusula 4.1, ratificada por la Adenda). Todos los plazos se cuentan desde ese día.</t>
  </si>
  <si>
    <t xml:space="preserve">Se suman los días de la Adenda</t>
  </si>
  <si>
    <t xml:space="preserve">La Adenda N.° 01 fija 65, 196, 257, 428 y 561 días (antes 15, 180, 360 y 540). Ej.: 16/10/2025 + 65 días = 20/12/2025.</t>
  </si>
  <si>
    <t xml:space="preserve">Se calcula la ventana de trabajo</t>
  </si>
  <si>
    <t xml:space="preserve">Cada producto empieza el día siguiente al anterior y termina en su fecha límite.</t>
  </si>
  <si>
    <t xml:space="preserve">Se asigna el estado</t>
  </si>
  <si>
    <t xml:space="preserve">Según la fecha de referencia, los días de aviso y lo que registres (entrega y revisión).</t>
  </si>
  <si>
    <t xml:space="preserve">Se cruza con los desembolsos</t>
  </si>
  <si>
    <t xml:space="preserve">Cada pago se enlaza con su producto y con la rendición previa exigida en la cláusula 9.1.</t>
  </si>
  <si>
    <t xml:space="preserve">Cómo se llega a un desembolso</t>
  </si>
  <si>
    <t xml:space="preserve">CARE entrega el producto a la UGP del proyecto ASL2</t>
  </si>
  <si>
    <t xml:space="preserve">Todo informe se presenta primero a la UGP (cláusula 11.1).</t>
  </si>
  <si>
    <t xml:space="preserve">La UGP revisa y puede observar</t>
  </si>
  <si>
    <t xml:space="preserve">Cláusula 8.1.</t>
  </si>
  <si>
    <t xml:space="preserve">Hasta 10 días hábiles</t>
  </si>
  <si>
    <t xml:space="preserve">CARE subsana las observaciones</t>
  </si>
  <si>
    <t xml:space="preserve">Cláusula 8.1. La UGP responde el pedido de ampliación en 3 días.</t>
  </si>
  <si>
    <t xml:space="preserve">7 días calendario (+5)</t>
  </si>
  <si>
    <t xml:space="preserve">FAO da su conformidad técnica a los productos clave</t>
  </si>
  <si>
    <t xml:space="preserve">Productos marcados con (*) (cl. 8.2). Observaciones de FAO: 5 días hábiles para resolverlas.</t>
  </si>
  <si>
    <t xml:space="preserve">Hasta 7 días hábiles</t>
  </si>
  <si>
    <t xml:space="preserve">Se reúnen las conformidades internas</t>
  </si>
  <si>
    <t xml:space="preserve">Opinión técnica del Componente 2 y conformidad de la Coordinación Técnica (cl. 11.2).</t>
  </si>
  <si>
    <t xml:space="preserve">CARE rinde el pago anterior</t>
  </si>
  <si>
    <t xml:space="preserve">Al menos el 70 % del desembolso previo (y el 100 % del penúltimo), con el Formato R-1 y comprobantes (Anexo II), más el informe de recursos financiados.</t>
  </si>
  <si>
    <t xml:space="preserve">La UGP pide el desembolso por escrito a Profonanpe</t>
  </si>
  <si>
    <t xml:space="preserve">Cláusula 9.3, con conformidad del Coordinador Nacional.</t>
  </si>
  <si>
    <t xml:space="preserve">Profonanpe transfiere a la cuenta exclusiva de CARE</t>
  </si>
  <si>
    <t xml:space="preserve">Cuenta del Formato S-03 (cl. 5.2.2). El convenio no fija un plazo para transferir.</t>
  </si>
  <si>
    <t xml:space="preserve">Sin plazo fijado</t>
  </si>
  <si>
    <t xml:space="preserve">Rendición del saldo final</t>
  </si>
  <si>
    <t xml:space="preserve">El saldo del 4.º desembolso se rinde junto con el informe final (cl. 9.2).</t>
  </si>
  <si>
    <t xml:space="preserve">Hasta 10 días</t>
  </si>
  <si>
    <t xml:space="preserve">Dudas por aclarar con Profonanpe</t>
  </si>
  <si>
    <t xml:space="preserve">Puntos donde los documentos se contradicen o no dicen cuál prevalece. Resolverlos por escrito: acta (cl. 8.5) o adenda (cl. 16.1).</t>
  </si>
  <si>
    <t xml:space="preserve">Tema</t>
  </si>
  <si>
    <t xml:space="preserve">Pregunta a Profonanpe</t>
  </si>
  <si>
    <t xml:space="preserve">Responsable</t>
  </si>
  <si>
    <t xml:space="preserve">Fecha de respuesta</t>
  </si>
  <si>
    <t xml:space="preserve">Respuesta / acuerdo</t>
  </si>
  <si>
    <t xml:space="preserve">La cláusula 9.1 no se actualizó con la Adenda</t>
  </si>
  <si>
    <t xml:space="preserve">Sigue diciendo que se paga a los 15, 120 y 240 días, y la Adenda movió los productos a los días 65, 196, 257 y 428. Esas fechas de pago ya no coinciden con ningún entregable vigente.</t>
  </si>
  <si>
    <t xml:space="preserve">¿Qué fecha o condición rige para cada desembolso?</t>
  </si>
  <si>
    <t xml:space="preserve">Pendiente</t>
  </si>
  <si>
    <t xml:space="preserve">Porcentajes de la Adenda frente a los pagos de 9.1</t>
  </si>
  <si>
    <t xml:space="preserve">La tabla 1 de la Adenda reparte 30, 20, 15, 20 y 15 %. La cláusula 9.1 paga 30, 30, 25 y 15 %. En el Producto 2 hay 5 puntos de diferencia (≈ S/ 23,562.50).</t>
  </si>
  <si>
    <t xml:space="preserve">¿Se mantienen los 4 pagos de la cláusula 9.1 o se pagará según la tabla de la Adenda?</t>
  </si>
  <si>
    <t xml:space="preserve">El Producto 2 ahora tiene dos fechas</t>
  </si>
  <si>
    <t xml:space="preserve">La Adenda lo divide en Parte I (30/04/2026) y Parte II (30/06/2026), pero no dice si el Desembolso 2 se libera con la primera parte o solo con ambas. Este libro asume ambas.</t>
  </si>
  <si>
    <t xml:space="preserve">¿El Desembolso 2 se tramita con la Parte I o con el Producto 2 completo?</t>
  </si>
  <si>
    <t xml:space="preserve">Fecha de firma del convenio</t>
  </si>
  <si>
    <t xml:space="preserve">El convenio indica 16/10/2025. La Adenda dice en el punto 1.4 que se firmó el 14/11/2025 y en 1.2 que corre desde el 22/10/2025; pero en 2.1 cuenta desde el 16/10/2025, y sus fechas de la tabla 1 solo cuadran así.</t>
  </si>
  <si>
    <t xml:space="preserve">Confirmar por escrito que la fecha de inicio es el 16/10/2025.</t>
  </si>
  <si>
    <t xml:space="preserve">Monto de S/ 471,250 y de S/ 511,250</t>
  </si>
  <si>
    <t xml:space="preserve">CARE recibe en efectivo S/ 471,250.00 (cl. 9.1). El tope de Profonanpe es S/ 511,250.00 (cl. 5.2.1). La diferencia de S/ 40,000.00 sería la compra directa de la UGP.</t>
  </si>
  <si>
    <t xml:space="preserve">¿Profonanpe confirma que son S/ 471,250 más S/ 40,000 de compra directa?</t>
  </si>
  <si>
    <t xml:space="preserve">Estado real de las entregas y conformidades</t>
  </si>
  <si>
    <t xml:space="preserve">Los documentos solo prueban que el Producto 1 se presentó el 30/11/2025. No consta su conformidad ni el pago del 1.er desembolso.</t>
  </si>
  <si>
    <t xml:space="preserve">Registrar en Entregables y Desembolsos lo que ya ocurrió.</t>
  </si>
  <si>
    <t xml:space="preserve">Plazo de Profonanpe para transferir</t>
  </si>
  <si>
    <t xml:space="preserve">El convenio no fija en cuántos días transfiere Profonanpe una vez pedido el desembolso; además está sujeto a disponibilidad de fondos (cl. 9.5).</t>
  </si>
  <si>
    <t xml:space="preserve">¿Cuál es el plazo referencial de transferencia?</t>
  </si>
  <si>
    <t xml:space="preserve">Parámetros y listas</t>
  </si>
  <si>
    <t xml:space="preserve">Datos base del convenio. Las celdas amarillas se pueden ajustar; todo el libro se recalcula.</t>
  </si>
  <si>
    <t xml:space="preserve">Parámetro</t>
  </si>
  <si>
    <t xml:space="preserve">Valor</t>
  </si>
  <si>
    <t xml:space="preserve">Fuente / nota</t>
  </si>
  <si>
    <t xml:space="preserve">Filtro de productos</t>
  </si>
  <si>
    <t xml:space="preserve">Sí / No</t>
  </si>
  <si>
    <t xml:space="preserve">Aviso (días)</t>
  </si>
  <si>
    <t xml:space="preserve">Estado de dudas</t>
  </si>
  <si>
    <t xml:space="preserve">Fecha de inicio del convenio</t>
  </si>
  <si>
    <t xml:space="preserve">Cláusula 4.1 (modificada por la Adenda N.° 01, numeral 2.1): contado desde el 16/10/2025.</t>
  </si>
  <si>
    <t xml:space="preserve">Días hasta el cierre</t>
  </si>
  <si>
    <t xml:space="preserve">Adenda N.° 01, numeral 2.3: 19 meses y 19 días (589 días). Cierre: 28/05/2027.</t>
  </si>
  <si>
    <t xml:space="preserve">En consulta</t>
  </si>
  <si>
    <t xml:space="preserve">Fecha de cierre</t>
  </si>
  <si>
    <t xml:space="preserve">Calculado: inicio + días de cierre.</t>
  </si>
  <si>
    <t xml:space="preserve">Resuelta</t>
  </si>
  <si>
    <t xml:space="preserve">Conforme</t>
  </si>
  <si>
    <t xml:space="preserve">Monto en efectivo a CARE (S/)</t>
  </si>
  <si>
    <t xml:space="preserve">Cláusula 9.1: S/ 471,250.00 en 4 desembolsos. La Adenda (2.5) no cambia el monto.</t>
  </si>
  <si>
    <t xml:space="preserve">Compra directa de la UGP (S/)</t>
  </si>
  <si>
    <t xml:space="preserve">Cláusula 9.1: insumos, herramientas y equipos; no se descuentan del convenio.</t>
  </si>
  <si>
    <t xml:space="preserve">Tope total de Profonanpe (S/)</t>
  </si>
  <si>
    <t xml:space="preserve">Cláusula 5.2.1: hasta S/ 511,250.00.</t>
  </si>
  <si>
    <t xml:space="preserve">Rendición mínima del desembolso previo</t>
  </si>
  <si>
    <t xml:space="preserve">Cláusula 9.1: al menos 70 % del desembolso anterior.</t>
  </si>
  <si>
    <t xml:space="preserve">Días del fin original del convenio</t>
  </si>
  <si>
    <t xml:space="preserve">Convenio original: 18 meses, hasta el 09/04/2027.</t>
  </si>
  <si>
    <t xml:space="preserve">Días para subsanar observaciones</t>
  </si>
  <si>
    <t xml:space="preserve">Cláusula 8.1: 7 días calendario (ampliables 5 días con pedido escrito).</t>
  </si>
  <si>
    <t xml:space="preserve">Días de ampliación para subsanar</t>
  </si>
  <si>
    <t xml:space="preserve">Cláusula 8.1: ampliación máxima con sustento escrito.</t>
  </si>
  <si>
    <t xml:space="preserve">Días para rendir el saldo del 4.º desembolso</t>
  </si>
  <si>
    <t xml:space="preserve">Cláusula 9.2: a más tardar 10 días después del informe final.</t>
  </si>
  <si>
    <t xml:space="preserve">Cómo usar este libro</t>
  </si>
  <si>
    <t xml:space="preserve">1. Panel: elige la fecha de referencia (vacía = hoy), los días de aviso, el filtro de la tabla y el producto a consultar.</t>
  </si>
  <si>
    <t xml:space="preserve">2. Haz clic en los botones de color del Panel (Por vencer, Vencidos, Listos para solicitar…) para abrir la lista de ese estado en la hoja Vistas.</t>
  </si>
  <si>
    <t xml:space="preserve">3. Entregables: cuando se presente un producto, marca «Sí» (columna L) y la fecha (M). Luego registra la revisión de la UGP/FAO (N a Q).</t>
  </si>
  <si>
    <t xml:space="preserve">4. Desembolsos: marca «Sí» cuando Profonanpe transfiera (columna O), la fecha (P) y lo que CARE va rindiendo (Q).</t>
  </si>
  <si>
    <t xml:space="preserve">5. Dudas: registra el estado y la respuesta de cada consulta a Profonanpe.</t>
  </si>
  <si>
    <t xml:space="preserve">Celdas amarillas con texto azul = datos que puedes editar. Lo demás son fórmulas: no las sobrescribas.</t>
  </si>
  <si>
    <t xml:space="preserve">Datos para gráficos y cálculos del Panel</t>
  </si>
  <si>
    <t xml:space="preserve">Hoja auxiliar: todo son fórmulas. No editar.</t>
  </si>
  <si>
    <t xml:space="preserve">Estado del dinero</t>
  </si>
  <si>
    <t xml:space="preserve">Estado del producto</t>
  </si>
  <si>
    <t xml:space="preserve">Cantidad</t>
  </si>
  <si>
    <t xml:space="preserve">Estado del desembolso</t>
  </si>
  <si>
    <t xml:space="preserve">Indicador</t>
  </si>
  <si>
    <t xml:space="preserve">Próximo vencimiento (fecha)</t>
  </si>
  <si>
    <t xml:space="preserve">Próximo vencimiento (producto)</t>
  </si>
  <si>
    <t xml:space="preserve">Días al próximo vencimiento</t>
  </si>
  <si>
    <t xml:space="preserve">Productos vencidos</t>
  </si>
  <si>
    <t xml:space="preserve">Productos por vencer</t>
  </si>
  <si>
    <t xml:space="preserve">Productos entregados</t>
  </si>
  <si>
    <t xml:space="preserve">Productos aprobados</t>
  </si>
  <si>
    <t xml:space="preserve">Avance físico (entregado, % Adenda)</t>
  </si>
  <si>
    <t xml:space="preserve">Ejecución financiera</t>
  </si>
  <si>
    <t xml:space="preserve">Rendido / desembolsado</t>
  </si>
  <si>
    <t xml:space="preserve">Tiempo transcurrido</t>
  </si>
  <si>
    <t xml:space="preserve">Días al cierre</t>
  </si>
  <si>
    <t xml:space="preserve">Dudas pendientes</t>
  </si>
  <si>
    <t xml:space="preserve">Productos en el filtro</t>
  </si>
  <si>
    <t xml:space="preserve">Fila del producto consultado</t>
  </si>
  <si>
    <t xml:space="preserve">Monto rendido</t>
  </si>
  <si>
    <t xml:space="preserve">Productos observados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</si>
</sst>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/mm/yyyy"/>
    <numFmt numFmtId="166" formatCode="dd\ mmm\ yyyy"/>
    <numFmt numFmtId="167" formatCode="0"/>
    <numFmt numFmtId="168" formatCode="@"/>
    <numFmt numFmtId="169" formatCode="&quot;S/ &quot;#,##0.00;&quot;-S/ &quot;#,##0.00;\-"/>
    <numFmt numFmtId="170" formatCode="0%"/>
    <numFmt numFmtId="171" formatCode=";;;"/>
    <numFmt numFmtId="172" formatCode="0;\-0;0"/>
    <numFmt numFmtId="173" formatCode="mmm\ yy"/>
    <numFmt numFmtId="174" formatCode="&quot;S/ &quot;#,##0"/>
    <numFmt numFmtId="175" formatCode="\+0;\-0;0"/>
    <numFmt numFmtId="176" formatCode="General"/>
    <numFmt numFmtId="177" formatCode="\+0&quot; días&quot;;\-0&quot; días&quot;;&quot;0 días&quot;"/>
    <numFmt numFmtId="178" formatCode="dd"/>
    <numFmt numFmtId="179" formatCode="\+0&quot; pts&quot;;\-0&quot; pts&quot;;&quot;0 pts&quot;"/>
    <numFmt numFmtId="180" formatCode="\+0&quot; días&quot;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0312B"/>
      <name val="Arial"/>
      <family val="0"/>
      <charset val="1"/>
    </font>
    <font>
      <i val="true"/>
      <sz val="10"/>
      <color rgb="FF4A62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A625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0312B"/>
      <name val="Arial"/>
      <family val="0"/>
      <charset val="1"/>
    </font>
    <font>
      <i val="true"/>
      <sz val="9"/>
      <color rgb="FF4A625C"/>
      <name val="Arial"/>
      <family val="0"/>
      <charset val="1"/>
    </font>
    <font>
      <b val="true"/>
      <sz val="18"/>
      <color rgb="FF10312B"/>
      <name val="Arial"/>
      <family val="0"/>
      <charset val="1"/>
    </font>
    <font>
      <sz val="9"/>
      <color rgb="FF4A625C"/>
      <name val="Arial"/>
      <family val="0"/>
      <charset val="1"/>
    </font>
    <font>
      <b val="true"/>
      <sz val="13"/>
      <color rgb="FF1031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0312B"/>
      <name val="Arial"/>
      <family val="0"/>
      <charset val="1"/>
    </font>
    <font>
      <sz val="10"/>
      <color rgb="FF10312B"/>
      <name val="Arial"/>
      <family val="0"/>
      <charset val="1"/>
    </font>
    <font>
      <i val="true"/>
      <sz val="9"/>
      <color rgb="FFB3261E"/>
      <name val="Arial"/>
      <family val="0"/>
      <charset val="1"/>
    </font>
    <font>
      <sz val="9"/>
      <color rgb="FF10312B"/>
      <name val="Arial"/>
      <family val="0"/>
      <charset val="1"/>
    </font>
    <font>
      <b val="true"/>
      <sz val="10"/>
      <color rgb="FF4A625C"/>
      <name val="Arial"/>
      <family val="0"/>
      <charset val="1"/>
    </font>
    <font>
      <i val="true"/>
      <sz val="8"/>
      <color rgb="FF4A625C"/>
      <name val="Arial"/>
      <family val="0"/>
      <charset val="1"/>
    </font>
    <font>
      <sz val="10"/>
      <color rgb="FF000000"/>
      <name val="Calibri"/>
      <family val="2"/>
    </font>
    <font>
      <b val="true"/>
      <sz val="9"/>
      <color rgb="FF0000FF"/>
      <name val="Arial"/>
      <family val="0"/>
      <charset val="1"/>
    </font>
    <font>
      <sz val="8"/>
      <color rgb="FF9AA8A2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b val="true"/>
      <u val="single"/>
      <sz val="9"/>
      <color rgb="FFFFFFFF"/>
      <name val="Arial"/>
      <family val="0"/>
      <charset val="1"/>
    </font>
    <font>
      <b val="true"/>
      <sz val="8"/>
      <color rgb="FF10312B"/>
      <name val="Arial"/>
      <family val="0"/>
      <charset val="1"/>
    </font>
    <font>
      <sz val="7"/>
      <color rgb="FF4A625C"/>
      <name val="Arial"/>
      <family val="0"/>
      <charset val="1"/>
    </font>
    <font>
      <b val="true"/>
      <sz val="9"/>
      <color rgb="FF10312B"/>
      <name val="Arial"/>
      <family val="0"/>
      <charset val="1"/>
    </font>
    <font>
      <b val="true"/>
      <sz val="12"/>
      <color rgb="FF10312B"/>
      <name val="Arial"/>
      <family val="0"/>
      <charset val="1"/>
    </font>
    <font>
      <b val="true"/>
      <sz val="10"/>
      <color rgb="FF0E6F78"/>
      <name val="Arial"/>
      <family val="0"/>
      <charset val="1"/>
    </font>
    <font>
      <b val="true"/>
      <sz val="10"/>
      <color rgb="FFB26B00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3D5A99"/>
      <name val="Arial"/>
      <family val="0"/>
      <charset val="1"/>
    </font>
    <font>
      <b val="true"/>
      <sz val="10"/>
      <color rgb="FF7A3E9D"/>
      <name val="Arial"/>
      <family val="0"/>
      <charset val="1"/>
    </font>
    <font>
      <b val="true"/>
      <sz val="10"/>
      <color rgb="FF2F7D3E"/>
      <name val="Arial"/>
      <family val="0"/>
      <charset val="1"/>
    </font>
    <font>
      <b val="true"/>
      <sz val="10"/>
      <color rgb="FF6B7A74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EDF2EE"/>
        <bgColor rgb="FFDFF1E2"/>
      </patternFill>
    </fill>
    <fill>
      <patternFill patternType="solid">
        <fgColor rgb="FF1E5B4B"/>
        <bgColor rgb="FF0E6F78"/>
      </patternFill>
    </fill>
    <fill>
      <patternFill patternType="solid">
        <fgColor rgb="FFFFF4C2"/>
        <bgColor rgb="FFFBEFD4"/>
      </patternFill>
    </fill>
    <fill>
      <patternFill patternType="solid">
        <fgColor rgb="FFFFFFFF"/>
        <bgColor rgb="FFEDF2EE"/>
      </patternFill>
    </fill>
    <fill>
      <patternFill patternType="solid">
        <fgColor rgb="FF10312B"/>
        <bgColor rgb="FF003366"/>
      </patternFill>
    </fill>
    <fill>
      <patternFill patternType="solid">
        <fgColor rgb="FF0E6F78"/>
        <bgColor rgb="FF1E5B4B"/>
      </patternFill>
    </fill>
    <fill>
      <patternFill patternType="solid">
        <fgColor rgb="FFB26B00"/>
        <bgColor rgb="FF8A5A00"/>
      </patternFill>
    </fill>
    <fill>
      <patternFill patternType="solid">
        <fgColor rgb="FFB3261E"/>
        <bgColor rgb="FF993366"/>
      </patternFill>
    </fill>
    <fill>
      <patternFill patternType="solid">
        <fgColor rgb="FF3D5A99"/>
        <bgColor rgb="FF4A625C"/>
      </patternFill>
    </fill>
    <fill>
      <patternFill patternType="solid">
        <fgColor rgb="FF7A3E9D"/>
        <bgColor rgb="FF993366"/>
      </patternFill>
    </fill>
    <fill>
      <patternFill patternType="solid">
        <fgColor rgb="FF2F7D3E"/>
        <bgColor rgb="FF4A625C"/>
      </patternFill>
    </fill>
    <fill>
      <patternFill patternType="solid">
        <fgColor rgb="FF6B7A74"/>
        <bgColor rgb="FF878787"/>
      </patternFill>
    </fill>
    <fill>
      <patternFill patternType="solid">
        <fgColor rgb="FF8A5A00"/>
        <bgColor rgb="FFB26B00"/>
      </patternFill>
    </fill>
    <fill>
      <patternFill patternType="solid">
        <fgColor rgb="FFE2EAE4"/>
        <bgColor rgb="FFDFF1E2"/>
      </patternFill>
    </fill>
    <fill>
      <patternFill patternType="solid">
        <fgColor rgb="FFB9C6BF"/>
        <bgColor rgb="FFC6D4CB"/>
      </patternFill>
    </fill>
    <fill>
      <patternFill patternType="solid">
        <fgColor rgb="FFFFE08A"/>
        <bgColor rgb="FFFFF4C2"/>
      </patternFill>
    </fill>
    <fill>
      <patternFill patternType="solid">
        <fgColor rgb="FFDCF0F2"/>
        <bgColor rgb="FFDFF1E2"/>
      </patternFill>
    </fill>
    <fill>
      <patternFill patternType="solid">
        <fgColor rgb="FFFBEFD4"/>
        <bgColor rgb="FFFFF4C2"/>
      </patternFill>
    </fill>
    <fill>
      <patternFill patternType="solid">
        <fgColor rgb="FFFBE6E4"/>
        <bgColor rgb="FFFBEFD4"/>
      </patternFill>
    </fill>
    <fill>
      <patternFill patternType="solid">
        <fgColor rgb="FFE3E9F6"/>
        <bgColor rgb="FFE2EAE4"/>
      </patternFill>
    </fill>
    <fill>
      <patternFill patternType="solid">
        <fgColor rgb="FFEFE5F6"/>
        <bgColor rgb="FFE3E9F6"/>
      </patternFill>
    </fill>
    <fill>
      <patternFill patternType="solid">
        <fgColor rgb="FFDFF1E2"/>
        <bgColor rgb="FFDCF0F2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EDF2EE"/>
      </left>
      <right style="thin">
        <color rgb="FFEDF2EE"/>
      </right>
      <top/>
      <bottom/>
      <diagonal/>
    </border>
    <border diagonalUp="false" diagonalDown="false">
      <left style="thin">
        <color rgb="FFC6D4CB"/>
      </left>
      <right style="thin">
        <color rgb="FFC6D4CB"/>
      </right>
      <top style="thin">
        <color rgb="FFC6D4CB"/>
      </top>
      <bottom style="thin">
        <color rgb="FFC6D4CB"/>
      </bottom>
      <diagonal/>
    </border>
    <border diagonalUp="false" diagonalDown="false">
      <left style="thin">
        <color rgb="FFC6D4CB"/>
      </left>
      <right style="thin">
        <color rgb="FFC6D4CB"/>
      </right>
      <top style="thick">
        <color rgb="FF0E6F78"/>
      </top>
      <bottom/>
      <diagonal/>
    </border>
    <border diagonalUp="false" diagonalDown="false">
      <left style="thin">
        <color rgb="FFC6D4CB"/>
      </left>
      <right style="thin">
        <color rgb="FFC6D4CB"/>
      </right>
      <top style="thick">
        <color rgb="FFB3261E"/>
      </top>
      <bottom/>
      <diagonal/>
    </border>
    <border diagonalUp="false" diagonalDown="false">
      <left style="thin">
        <color rgb="FFC6D4CB"/>
      </left>
      <right style="thin">
        <color rgb="FFC6D4CB"/>
      </right>
      <top style="thick">
        <color rgb="FFB26B00"/>
      </top>
      <bottom/>
      <diagonal/>
    </border>
    <border diagonalUp="false" diagonalDown="false">
      <left style="thin">
        <color rgb="FFC6D4CB"/>
      </left>
      <right style="thin">
        <color rgb="FFC6D4CB"/>
      </right>
      <top style="thick">
        <color rgb="FF2F7D3E"/>
      </top>
      <bottom/>
      <diagonal/>
    </border>
    <border diagonalUp="false" diagonalDown="false">
      <left style="thin">
        <color rgb="FFC6D4CB"/>
      </left>
      <right style="thin">
        <color rgb="FFC6D4CB"/>
      </right>
      <top/>
      <bottom/>
      <diagonal/>
    </border>
    <border diagonalUp="false" diagonalDown="false">
      <left style="thin">
        <color rgb="FFC6D4CB"/>
      </left>
      <right style="thin">
        <color rgb="FFC6D4CB"/>
      </right>
      <top/>
      <bottom style="thin">
        <color rgb="FFC6D4CB"/>
      </bottom>
      <diagonal/>
    </border>
    <border diagonalUp="false" diagonalDown="false">
      <left style="thin">
        <color rgb="FFC6D4CB"/>
      </left>
      <right style="thin">
        <color rgb="FFC6D4CB"/>
      </right>
      <top style="thick">
        <color rgb="FF1E5B4B"/>
      </top>
      <bottom/>
      <diagonal/>
    </border>
    <border diagonalUp="false" diagonalDown="false">
      <left/>
      <right/>
      <top/>
      <bottom style="medium">
        <color rgb="FF10312B"/>
      </bottom>
      <diagonal/>
    </border>
    <border diagonalUp="false" diagonalDown="false">
      <left style="medium">
        <color rgb="FFEDF2EE"/>
      </left>
      <right style="medium">
        <color rgb="FFEDF2EE"/>
      </right>
      <top style="medium">
        <color rgb="FFEDF2EE"/>
      </top>
      <bottom style="medium">
        <color rgb="FFEDF2EE"/>
      </bottom>
      <diagonal/>
    </border>
    <border diagonalUp="false" diagonalDown="false">
      <left/>
      <right/>
      <top style="thin">
        <color rgb="FFC6D4CB"/>
      </top>
      <bottom style="thin">
        <color rgb="FFC6D4CB"/>
      </bottom>
      <diagonal/>
    </border>
    <border diagonalUp="false" diagonalDown="false">
      <left/>
      <right/>
      <top/>
      <bottom style="thin">
        <color rgb="FFC6D4CB"/>
      </bottom>
      <diagonal/>
    </border>
    <border diagonalUp="false" diagonalDown="false">
      <left style="hair">
        <color rgb="FFC6D4CB"/>
      </left>
      <right/>
      <top/>
      <bottom style="hair">
        <color rgb="FFC6D4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5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5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5" borderId="6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1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8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5" borderId="9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9" fontId="11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3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16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6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8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name val="Arial"/>
        <charset val="1"/>
        <family val="0"/>
        <b val="1"/>
        <color rgb="FFB3261E"/>
      </font>
      <fill>
        <patternFill>
          <bgColor rgb="FFFBE6E4"/>
        </patternFill>
      </fill>
    </dxf>
    <dxf>
      <font>
        <name val="Arial"/>
        <charset val="1"/>
        <family val="0"/>
        <b val="1"/>
        <color rgb="FFB26B00"/>
      </font>
      <fill>
        <patternFill>
          <bgColor rgb="FFFBEFD4"/>
        </patternFill>
      </fill>
    </dxf>
    <dxf>
      <font>
        <name val="Arial"/>
        <charset val="1"/>
        <family val="0"/>
        <b val="1"/>
        <color rgb="FF2F7D3E"/>
      </font>
      <fill>
        <patternFill>
          <bgColor rgb="FFDFF1E2"/>
        </patternFill>
      </fill>
    </dxf>
    <dxf>
      <font>
        <name val="Arial"/>
        <charset val="1"/>
        <family val="0"/>
        <b val="1"/>
        <color rgb="FF6B7A74"/>
      </font>
      <fill>
        <patternFill>
          <bgColor rgb="FFD5DDD8"/>
        </patternFill>
      </fill>
    </dxf>
    <dxf>
      <font>
        <name val="Arial"/>
        <charset val="1"/>
        <family val="0"/>
        <b val="1"/>
        <color rgb="FF0E6F78"/>
      </font>
      <fill>
        <patternFill>
          <bgColor rgb="FFDCF0F2"/>
        </patternFill>
      </fill>
    </dxf>
    <dxf>
      <font>
        <name val="Arial"/>
        <charset val="1"/>
        <family val="0"/>
        <b val="1"/>
        <color rgb="FF3D5A99"/>
      </font>
      <fill>
        <patternFill>
          <bgColor rgb="FFE3E9F6"/>
        </patternFill>
      </fill>
    </dxf>
    <dxf>
      <font>
        <name val="Arial"/>
        <charset val="1"/>
        <family val="0"/>
        <b val="1"/>
        <color rgb="FF7A3E9D"/>
      </font>
      <fill>
        <patternFill>
          <bgColor rgb="FFEFE5F6"/>
        </patternFill>
      </fill>
    </dxf>
    <dxf>
      <font>
        <name val="Arial"/>
        <charset val="1"/>
        <family val="0"/>
        <b val="1"/>
        <color rgb="FFB3261E"/>
      </font>
    </dxf>
    <dxf>
      <font>
        <name val="Arial"/>
        <charset val="1"/>
        <family val="0"/>
        <b val="1"/>
        <color rgb="FF6B7A74"/>
      </font>
      <fill>
        <patternFill>
          <bgColor rgb="FFE2EAE4"/>
        </patternFill>
      </fill>
    </dxf>
    <dxf>
      <font>
        <name val="Arial"/>
        <charset val="1"/>
        <family val="0"/>
        <b val="1"/>
        <color rgb="FF2F7D3E"/>
      </font>
    </dxf>
    <dxf>
      <fill>
        <patternFill patternType="solid">
          <fgColor rgb="FF1E5B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031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DCF0F2"/>
          <bgColor rgb="FF000000"/>
        </patternFill>
      </fill>
    </dxf>
    <dxf>
      <fill>
        <patternFill patternType="solid">
          <fgColor rgb="FFE3E9F6"/>
          <bgColor rgb="FF000000"/>
        </patternFill>
      </fill>
    </dxf>
    <dxf>
      <fill>
        <patternFill patternType="solid">
          <fgColor rgb="FFFBE6E4"/>
          <bgColor rgb="FF000000"/>
        </patternFill>
      </fill>
    </dxf>
    <dxf>
      <fill>
        <patternFill patternType="solid">
          <fgColor rgb="FF0E6F78"/>
          <bgColor rgb="FF000000"/>
        </patternFill>
      </fill>
    </dxf>
    <dxf>
      <fill>
        <patternFill patternType="solid">
          <fgColor rgb="FF3D5A99"/>
          <bgColor rgb="FF000000"/>
        </patternFill>
      </fill>
    </dxf>
    <dxf>
      <fill>
        <patternFill patternType="solid">
          <fgColor rgb="FF2F7D3E"/>
          <bgColor rgb="FF000000"/>
        </patternFill>
      </fill>
    </dxf>
    <dxf>
      <fill>
        <patternFill>
          <bgColor rgb="FF0E6F78"/>
        </patternFill>
      </fill>
    </dxf>
    <dxf>
      <fill>
        <patternFill>
          <bgColor rgb="FFB26B00"/>
        </patternFill>
      </fill>
    </dxf>
    <dxf>
      <fill>
        <patternFill>
          <bgColor rgb="FFB3261E"/>
        </patternFill>
      </fill>
    </dxf>
    <dxf>
      <fill>
        <patternFill>
          <bgColor rgb="FF3D5A99"/>
        </patternFill>
      </fill>
    </dxf>
    <dxf>
      <fill>
        <patternFill>
          <bgColor rgb="FF7A3E9D"/>
        </patternFill>
      </fill>
    </dxf>
    <dxf>
      <fill>
        <patternFill>
          <bgColor rgb="FF2F7D3E"/>
        </patternFill>
      </fill>
    </dxf>
    <dxf>
      <fill>
        <patternFill>
          <bgColor rgb="FFB9C6BF"/>
        </patternFill>
      </fill>
    </dxf>
    <dxf>
      <fill>
        <patternFill>
          <bgColor rgb="FFFFE08A"/>
        </patternFill>
      </fill>
    </dxf>
    <dxf>
      <font>
        <name val="Arial"/>
        <charset val="1"/>
        <family val="0"/>
        <b val="1"/>
        <color rgb="FFB26B00"/>
      </font>
    </dxf>
  </dxfs>
  <colors>
    <indexedColors>
      <rgbColor rgb="FF000000"/>
      <rgbColor rgb="FFFFFFFF"/>
      <rgbColor rgb="FFFF0000"/>
      <rgbColor rgb="FF00FF00"/>
      <rgbColor rgb="FF0000FF"/>
      <rgbColor rgb="FFEDF2EE"/>
      <rgbColor rgb="FFFF00FF"/>
      <rgbColor rgb="FF00FFFF"/>
      <rgbColor rgb="FF800000"/>
      <rgbColor rgb="FF008000"/>
      <rgbColor rgb="FF000080"/>
      <rgbColor rgb="FF8A5A00"/>
      <rgbColor rgb="FF800080"/>
      <rgbColor rgb="FF0E6F78"/>
      <rgbColor rgb="FFB9C6BF"/>
      <rgbColor rgb="FF878787"/>
      <rgbColor rgb="FFE2EAE4"/>
      <rgbColor rgb="FF7A3E9D"/>
      <rgbColor rgb="FFFFF4C2"/>
      <rgbColor rgb="FFDCF0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A625C"/>
      <rgbColor rgb="FF0000FF"/>
      <rgbColor rgb="FF00CCFF"/>
      <rgbColor rgb="FFE3E9F6"/>
      <rgbColor rgb="FFDFF1E2"/>
      <rgbColor rgb="FFFBEFD4"/>
      <rgbColor rgb="FFC6D4CB"/>
      <rgbColor rgb="FFFBE6E4"/>
      <rgbColor rgb="FFD5DDD8"/>
      <rgbColor rgb="FFFFE08A"/>
      <rgbColor rgb="FF4F81BD"/>
      <rgbColor rgb="FF33CCCC"/>
      <rgbColor rgb="FF99CC00"/>
      <rgbColor rgb="FFEFE5F6"/>
      <rgbColor rgb="FFFF9900"/>
      <rgbColor rgb="FFB26B00"/>
      <rgbColor rgb="FF6B7A74"/>
      <rgbColor rgb="FF9AA8A2"/>
      <rgbColor rgb="FF003366"/>
      <rgbColor rgb="FF2F7D3E"/>
      <rgbColor rgb="FF10312B"/>
      <rgbColor rgb="FF333300"/>
      <rgbColor rgb="FFB3261E"/>
      <rgbColor rgb="FF993366"/>
      <rgbColor rgb="FF3D5A99"/>
      <rgbColor rgb="FF1E5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'Datos gráficos'!C4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gráficos'!$C$5:$C$10</c:f>
              <c:numCache>
                <c:formatCode>dd/mm/yyyy</c:formatCode>
                <c:ptCount val="6"/>
                <c:pt idx="0">
                  <c:v>45946</c:v>
                </c:pt>
                <c:pt idx="1">
                  <c:v>46012</c:v>
                </c:pt>
                <c:pt idx="2">
                  <c:v>46143</c:v>
                </c:pt>
                <c:pt idx="3">
                  <c:v>46204</c:v>
                </c:pt>
                <c:pt idx="4">
                  <c:v>46375</c:v>
                </c:pt>
                <c:pt idx="5">
                  <c:v>46508</c:v>
                </c:pt>
              </c:numCache>
            </c:numRef>
          </c:val>
        </c:ser>
        <c:ser>
          <c:idx val="1"/>
          <c:order val="1"/>
          <c:tx>
            <c:strRef>
              <c:f>'Datos gráficos'!D4</c:f>
              <c:strCache>
                <c:ptCount val="1"/>
                <c:pt idx="0">
                  <c:v>Por entregar</c:v>
                </c:pt>
              </c:strCache>
            </c:strRef>
          </c:tx>
          <c:spPr>
            <a:solidFill>
              <a:srgbClr val="0e6f78"/>
            </a:solidFill>
            <a:ln w="0">
              <a:solidFill>
                <a:srgbClr val="0e6f7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gráficos'!$D$5:$D$10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171</c:v>
                </c:pt>
                <c:pt idx="4">
                  <c:v>133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'Datos gráficos'!E4</c:f>
              <c:strCache>
                <c:ptCount val="1"/>
                <c:pt idx="0">
                  <c:v>Por vencer</c:v>
                </c:pt>
              </c:strCache>
            </c:strRef>
          </c:tx>
          <c:spPr>
            <a:solidFill>
              <a:srgbClr val="b26b00"/>
            </a:solidFill>
            <a:ln w="0">
              <a:solidFill>
                <a:srgbClr val="b26b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gráficos'!$E$5:$E$10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'Datos gráficos'!F4</c:f>
              <c:strCache>
                <c:ptCount val="1"/>
                <c:pt idx="0">
                  <c:v>Vencido</c:v>
                </c:pt>
              </c:strCache>
            </c:strRef>
          </c:tx>
          <c:spPr>
            <a:solidFill>
              <a:srgbClr val="b3261e"/>
            </a:solidFill>
            <a:ln w="0">
              <a:solidFill>
                <a:srgbClr val="b326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gráficos'!$F$5:$F$10</c:f>
              <c:numCache>
                <c:formatCode>General</c:formatCode>
                <c:ptCount val="6"/>
                <c:pt idx="0">
                  <c:v>0</c:v>
                </c:pt>
                <c:pt idx="1">
                  <c:v>131</c:v>
                </c:pt>
                <c:pt idx="2">
                  <c:v>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'Datos gráficos'!G4</c:f>
              <c:strCache>
                <c:ptCount val="1"/>
                <c:pt idx="0">
                  <c:v>En revisión</c:v>
                </c:pt>
              </c:strCache>
            </c:strRef>
          </c:tx>
          <c:spPr>
            <a:solidFill>
              <a:srgbClr val="3d5a99"/>
            </a:solidFill>
            <a:ln w="0">
              <a:solidFill>
                <a:srgbClr val="3d5a9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gráficos'!$G$5:$G$10</c:f>
              <c:numCache>
                <c:formatCode>General</c:formatCode>
                <c:ptCount val="6"/>
                <c:pt idx="0">
                  <c:v>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'Datos gráficos'!H4</c:f>
              <c:strCache>
                <c:ptCount val="1"/>
                <c:pt idx="0">
                  <c:v>Observado</c:v>
                </c:pt>
              </c:strCache>
            </c:strRef>
          </c:tx>
          <c:spPr>
            <a:solidFill>
              <a:srgbClr val="7a3e9d"/>
            </a:solidFill>
            <a:ln w="0">
              <a:solidFill>
                <a:srgbClr val="7a3e9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gráficos'!$H$5:$H$10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'Datos gráficos'!I4</c:f>
              <c:strCache>
                <c:ptCount val="1"/>
                <c:pt idx="0">
                  <c:v>Aprobado</c:v>
                </c:pt>
              </c:strCache>
            </c:strRef>
          </c:tx>
          <c:spPr>
            <a:solidFill>
              <a:srgbClr val="2f7d3e"/>
            </a:solidFill>
            <a:ln w="0">
              <a:solidFill>
                <a:srgbClr val="2f7d3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7"/>
          <c:order val="7"/>
          <c:tx>
            <c:strRef>
              <c:f>'Datos gráficos'!J4</c:f>
              <c:strCache>
                <c:ptCount val="1"/>
                <c:pt idx="0">
                  <c:v>Cierre</c:v>
                </c:pt>
              </c:strCache>
            </c:strRef>
          </c:tx>
          <c:spPr>
            <a:solidFill>
              <a:srgbClr val="b9c6bf"/>
            </a:solidFill>
            <a:ln w="0">
              <a:solidFill>
                <a:srgbClr val="b9c6b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gráficos'!$B$5:$B$10</c:f>
              <c:strCache>
                <c:ptCount val="6"/>
                <c:pt idx="0">
                  <c:v>Producto 1</c:v>
                </c:pt>
                <c:pt idx="1">
                  <c:v>Producto 2 · Parte I</c:v>
                </c:pt>
                <c:pt idx="2">
                  <c:v>Producto 2 · Parte II</c:v>
                </c:pt>
                <c:pt idx="3">
                  <c:v>Producto 3</c:v>
                </c:pt>
                <c:pt idx="4">
                  <c:v>Producto 4</c:v>
                </c:pt>
                <c:pt idx="5">
                  <c:v>Cierre del convenio</c:v>
                </c:pt>
              </c:strCache>
            </c:strRef>
          </c:cat>
          <c:val>
            <c:numRef>
              <c:f>'Datos gráficos'!$J$5:$J$10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</c:v>
                </c:pt>
              </c:numCache>
            </c:numRef>
          </c:val>
        </c:ser>
        <c:gapWidth val="40"/>
        <c:overlap val="100"/>
        <c:axId val="31700587"/>
        <c:axId val="46770002"/>
      </c:barChart>
      <c:catAx>
        <c:axId val="317005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70002"/>
        <c:crosses val="autoZero"/>
        <c:auto val="1"/>
        <c:lblAlgn val="ctr"/>
        <c:lblOffset val="100"/>
        <c:noMultiLvlLbl val="0"/>
      </c:catAx>
      <c:valAx>
        <c:axId val="46770002"/>
        <c:scaling>
          <c:orientation val="minMax"/>
          <c:max val="46569"/>
          <c:min val="4593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00587"/>
        <c:crosses val="autoZero"/>
        <c:crossBetween val="between"/>
        <c:majorUnit val="91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'Datos gráficos'!C13</c:f>
              <c:strCache>
                <c:ptCount val="1"/>
                <c:pt idx="0">
                  <c:v>Monto (S/)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7d3e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e6f7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26b00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d5a99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6b7a74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'Datos gráficos'!$B$14:$B$18</c:f>
              <c:strCache>
                <c:ptCount val="5"/>
                <c:pt idx="0">
                  <c:v>Desembolsado</c:v>
                </c:pt>
                <c:pt idx="1">
                  <c:v>Listo para solicitar</c:v>
                </c:pt>
                <c:pt idx="2">
                  <c:v>Falta rendición</c:v>
                </c:pt>
                <c:pt idx="3">
                  <c:v>En conformidad</c:v>
                </c:pt>
                <c:pt idx="4">
                  <c:v>Pendiente de producto</c:v>
                </c:pt>
              </c:strCache>
            </c:strRef>
          </c:cat>
          <c:val>
            <c:numRef>
              <c:f>'Datos gráficos'!$C$14:$C$18</c:f>
              <c:numCache>
                <c:formatCode>"S/ "#,##0.00;"-S/ "#,##0.00;\-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141375</c:v>
                </c:pt>
                <c:pt idx="4">
                  <c:v>329875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'Datos gráficos'!C20</c:f>
              <c:strCache>
                <c:ptCount val="1"/>
                <c:pt idx="0">
                  <c:v>Desembolsado</c:v>
                </c:pt>
              </c:strCache>
            </c:strRef>
          </c:tx>
          <c:spPr>
            <a:solidFill>
              <a:srgbClr val="2f7d3e"/>
            </a:solidFill>
            <a:ln w="0">
              <a:solidFill>
                <a:srgbClr val="2f7d3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gráficos'!$B$21:$B$24</c:f>
              <c:strCache>
                <c:ptCount val="4"/>
                <c:pt idx="0">
                  <c:v>D1 · 30 %</c:v>
                </c:pt>
                <c:pt idx="1">
                  <c:v>D2 · 30 %</c:v>
                </c:pt>
                <c:pt idx="2">
                  <c:v>D3 · 25 %</c:v>
                </c:pt>
                <c:pt idx="3">
                  <c:v>D4 · 15 %</c:v>
                </c:pt>
              </c:strCache>
            </c:strRef>
          </c:cat>
          <c:val>
            <c:numRef>
              <c:f>'Datos gráficos'!$C$21:$C$24</c:f>
              <c:numCache>
                <c:formatCode>"S/ "#,##0.00;"-S/ "#,##0.00;\-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'Datos gráficos'!D20</c:f>
              <c:strCache>
                <c:ptCount val="1"/>
                <c:pt idx="0">
                  <c:v>Listo para solicitar</c:v>
                </c:pt>
              </c:strCache>
            </c:strRef>
          </c:tx>
          <c:spPr>
            <a:solidFill>
              <a:srgbClr val="0e6f78"/>
            </a:solidFill>
            <a:ln w="0">
              <a:solidFill>
                <a:srgbClr val="0e6f7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gráficos'!$B$21:$B$24</c:f>
              <c:strCache>
                <c:ptCount val="4"/>
                <c:pt idx="0">
                  <c:v>D1 · 30 %</c:v>
                </c:pt>
                <c:pt idx="1">
                  <c:v>D2 · 30 %</c:v>
                </c:pt>
                <c:pt idx="2">
                  <c:v>D3 · 25 %</c:v>
                </c:pt>
                <c:pt idx="3">
                  <c:v>D4 · 15 %</c:v>
                </c:pt>
              </c:strCache>
            </c:strRef>
          </c:cat>
          <c:val>
            <c:numRef>
              <c:f>'Datos gráficos'!$D$21:$D$24</c:f>
              <c:numCache>
                <c:formatCode>"S/ "#,##0.00;"-S/ "#,##0.00;\-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'Datos gráficos'!E20</c:f>
              <c:strCache>
                <c:ptCount val="1"/>
                <c:pt idx="0">
                  <c:v>Falta rendición</c:v>
                </c:pt>
              </c:strCache>
            </c:strRef>
          </c:tx>
          <c:spPr>
            <a:solidFill>
              <a:srgbClr val="b26b00"/>
            </a:solidFill>
            <a:ln w="0">
              <a:solidFill>
                <a:srgbClr val="b26b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gráficos'!$B$21:$B$24</c:f>
              <c:strCache>
                <c:ptCount val="4"/>
                <c:pt idx="0">
                  <c:v>D1 · 30 %</c:v>
                </c:pt>
                <c:pt idx="1">
                  <c:v>D2 · 30 %</c:v>
                </c:pt>
                <c:pt idx="2">
                  <c:v>D3 · 25 %</c:v>
                </c:pt>
                <c:pt idx="3">
                  <c:v>D4 · 15 %</c:v>
                </c:pt>
              </c:strCache>
            </c:strRef>
          </c:cat>
          <c:val>
            <c:numRef>
              <c:f>'Datos gráficos'!$E$21:$E$24</c:f>
              <c:numCache>
                <c:formatCode>"S/ "#,##0.00;"-S/ "#,##0.00;\-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'Datos gráficos'!F20</c:f>
              <c:strCache>
                <c:ptCount val="1"/>
                <c:pt idx="0">
                  <c:v>En conformidad</c:v>
                </c:pt>
              </c:strCache>
            </c:strRef>
          </c:tx>
          <c:spPr>
            <a:solidFill>
              <a:srgbClr val="3d5a99"/>
            </a:solidFill>
            <a:ln w="0">
              <a:solidFill>
                <a:srgbClr val="3d5a9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gráficos'!$B$21:$B$24</c:f>
              <c:strCache>
                <c:ptCount val="4"/>
                <c:pt idx="0">
                  <c:v>D1 · 30 %</c:v>
                </c:pt>
                <c:pt idx="1">
                  <c:v>D2 · 30 %</c:v>
                </c:pt>
                <c:pt idx="2">
                  <c:v>D3 · 25 %</c:v>
                </c:pt>
                <c:pt idx="3">
                  <c:v>D4 · 15 %</c:v>
                </c:pt>
              </c:strCache>
            </c:strRef>
          </c:cat>
          <c:val>
            <c:numRef>
              <c:f>'Datos gráficos'!$F$21:$F$24</c:f>
              <c:numCache>
                <c:formatCode>"S/ "#,##0.00;"-S/ "#,##0.00;\-</c:formatCode>
                <c:ptCount val="4"/>
                <c:pt idx="0">
                  <c:v>141375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'Datos gráficos'!G20</c:f>
              <c:strCache>
                <c:ptCount val="1"/>
                <c:pt idx="0">
                  <c:v>Pendiente de producto</c:v>
                </c:pt>
              </c:strCache>
            </c:strRef>
          </c:tx>
          <c:spPr>
            <a:solidFill>
              <a:srgbClr val="6b7a74"/>
            </a:solidFill>
            <a:ln w="0">
              <a:solidFill>
                <a:srgbClr val="6b7a7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gráficos'!$B$21:$B$24</c:f>
              <c:strCache>
                <c:ptCount val="4"/>
                <c:pt idx="0">
                  <c:v>D1 · 30 %</c:v>
                </c:pt>
                <c:pt idx="1">
                  <c:v>D2 · 30 %</c:v>
                </c:pt>
                <c:pt idx="2">
                  <c:v>D3 · 25 %</c:v>
                </c:pt>
                <c:pt idx="3">
                  <c:v>D4 · 15 %</c:v>
                </c:pt>
              </c:strCache>
            </c:strRef>
          </c:cat>
          <c:val>
            <c:numRef>
              <c:f>'Datos gráficos'!$G$21:$G$24</c:f>
              <c:numCache>
                <c:formatCode>"S/ "#,##0.00;"-S/ "#,##0.00;\-</c:formatCode>
                <c:ptCount val="4"/>
                <c:pt idx="0">
                  <c:v>0</c:v>
                </c:pt>
                <c:pt idx="1">
                  <c:v>141375</c:v>
                </c:pt>
                <c:pt idx="2">
                  <c:v>117812</c:v>
                </c:pt>
                <c:pt idx="3">
                  <c:v>70688</c:v>
                </c:pt>
              </c:numCache>
            </c:numRef>
          </c:val>
        </c:ser>
        <c:gapWidth val="60"/>
        <c:overlap val="100"/>
        <c:axId val="72981887"/>
        <c:axId val="16325016"/>
      </c:barChart>
      <c:catAx>
        <c:axId val="7298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25016"/>
        <c:crosses val="autoZero"/>
        <c:auto val="1"/>
        <c:lblAlgn val="ctr"/>
        <c:lblOffset val="100"/>
        <c:noMultiLvlLbl val="0"/>
      </c:catAx>
      <c:valAx>
        <c:axId val="16325016"/>
        <c:scaling>
          <c:orientation val="minMax"/>
        </c:scaling>
        <c:delete val="0"/>
        <c:axPos val="l"/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818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'Datos gráficos'!C26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e6f78"/>
              </a:solidFill>
              <a:ln w="0">
                <a:solidFill>
                  <a:srgbClr val="0e6f78"/>
                </a:solidFill>
              </a:ln>
            </c:spPr>
          </c:dPt>
          <c:dPt>
            <c:idx val="1"/>
            <c:invertIfNegative val="0"/>
            <c:spPr>
              <a:solidFill>
                <a:srgbClr val="b26b00"/>
              </a:solidFill>
              <a:ln w="0">
                <a:solidFill>
                  <a:srgbClr val="b26b00"/>
                </a:solidFill>
              </a:ln>
            </c:spPr>
          </c:dPt>
          <c:dPt>
            <c:idx val="2"/>
            <c:invertIfNegative val="0"/>
            <c:spPr>
              <a:solidFill>
                <a:srgbClr val="b3261e"/>
              </a:solidFill>
              <a:ln w="0">
                <a:solidFill>
                  <a:srgbClr val="b3261e"/>
                </a:solidFill>
              </a:ln>
            </c:spPr>
          </c:dPt>
          <c:dPt>
            <c:idx val="3"/>
            <c:invertIfNegative val="0"/>
            <c:spPr>
              <a:solidFill>
                <a:srgbClr val="3d5a99"/>
              </a:solidFill>
              <a:ln w="0">
                <a:solidFill>
                  <a:srgbClr val="3d5a99"/>
                </a:solidFill>
              </a:ln>
            </c:spPr>
          </c:dPt>
          <c:dPt>
            <c:idx val="4"/>
            <c:invertIfNegative val="0"/>
            <c:spPr>
              <a:solidFill>
                <a:srgbClr val="7a3e9d"/>
              </a:solidFill>
              <a:ln w="0">
                <a:solidFill>
                  <a:srgbClr val="7a3e9d"/>
                </a:solidFill>
              </a:ln>
            </c:spPr>
          </c:dPt>
          <c:dPt>
            <c:idx val="5"/>
            <c:invertIfNegative val="0"/>
            <c:spPr>
              <a:solidFill>
                <a:srgbClr val="2f7d3e"/>
              </a:solidFill>
              <a:ln w="0">
                <a:solidFill>
                  <a:srgbClr val="2f7d3e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gráficos'!$B$27:$B$32</c:f>
              <c:strCache>
                <c:ptCount val="6"/>
                <c:pt idx="0">
                  <c:v>Por entregar</c:v>
                </c:pt>
                <c:pt idx="1">
                  <c:v>Por vencer</c:v>
                </c:pt>
                <c:pt idx="2">
                  <c:v>Vencido</c:v>
                </c:pt>
                <c:pt idx="3">
                  <c:v>En revisión</c:v>
                </c:pt>
                <c:pt idx="4">
                  <c:v>Observado</c:v>
                </c:pt>
                <c:pt idx="5">
                  <c:v>Aprobado</c:v>
                </c:pt>
              </c:strCache>
            </c:strRef>
          </c:cat>
          <c:val>
            <c:numRef>
              <c:f>'Datos gráficos'!$C$27:$C$32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50"/>
        <c:overlap val="0"/>
        <c:axId val="36480832"/>
        <c:axId val="64405804"/>
      </c:barChart>
      <c:catAx>
        <c:axId val="364808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05804"/>
        <c:crosses val="autoZero"/>
        <c:auto val="1"/>
        <c:lblAlgn val="ctr"/>
        <c:lblOffset val="100"/>
        <c:noMultiLvlLbl val="0"/>
      </c:catAx>
      <c:valAx>
        <c:axId val="6440580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80832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232560</xdr:rowOff>
    </xdr:from>
    <xdr:to>
      <xdr:col>18</xdr:col>
      <xdr:colOff>150120</xdr:colOff>
      <xdr:row>49</xdr:row>
      <xdr:rowOff>46080</xdr:rowOff>
    </xdr:to>
    <xdr:graphicFrame>
      <xdr:nvGraphicFramePr>
        <xdr:cNvPr id="0" name="Chart 1"/>
        <xdr:cNvGraphicFramePr/>
      </xdr:nvGraphicFramePr>
      <xdr:xfrm>
        <a:off x="141120" y="8248680"/>
        <a:ext cx="11879640" cy="30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71</xdr:row>
      <xdr:rowOff>222840</xdr:rowOff>
    </xdr:from>
    <xdr:to>
      <xdr:col>6</xdr:col>
      <xdr:colOff>77760</xdr:colOff>
      <xdr:row>87</xdr:row>
      <xdr:rowOff>92520</xdr:rowOff>
    </xdr:to>
    <xdr:graphicFrame>
      <xdr:nvGraphicFramePr>
        <xdr:cNvPr id="1" name="Chart 2"/>
        <xdr:cNvGraphicFramePr/>
      </xdr:nvGraphicFramePr>
      <xdr:xfrm>
        <a:off x="141120" y="18564120"/>
        <a:ext cx="37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71</xdr:row>
      <xdr:rowOff>222840</xdr:rowOff>
    </xdr:from>
    <xdr:to>
      <xdr:col>11</xdr:col>
      <xdr:colOff>77400</xdr:colOff>
      <xdr:row>87</xdr:row>
      <xdr:rowOff>92520</xdr:rowOff>
    </xdr:to>
    <xdr:graphicFrame>
      <xdr:nvGraphicFramePr>
        <xdr:cNvPr id="2" name="Chart 3"/>
        <xdr:cNvGraphicFramePr/>
      </xdr:nvGraphicFramePr>
      <xdr:xfrm>
        <a:off x="3843000" y="18564120"/>
        <a:ext cx="37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71</xdr:row>
      <xdr:rowOff>222840</xdr:rowOff>
    </xdr:from>
    <xdr:to>
      <xdr:col>15</xdr:col>
      <xdr:colOff>98280</xdr:colOff>
      <xdr:row>87</xdr:row>
      <xdr:rowOff>92520</xdr:rowOff>
    </xdr:to>
    <xdr:graphicFrame>
      <xdr:nvGraphicFramePr>
        <xdr:cNvPr id="3" name="Chart 4"/>
        <xdr:cNvGraphicFramePr/>
      </xdr:nvGraphicFramePr>
      <xdr:xfrm>
        <a:off x="7545240" y="185641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2B"/>
    <pageSetUpPr fitToPage="true"/>
  </sheetPr>
  <dimension ref="A1:P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5" min="2" style="0" width="10.51"/>
    <col collapsed="false" customWidth="true" hidden="false" outlineLevel="0" max="16" min="16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4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21.75" hidden="false" customHeight="true" outlineLevel="0" collapsed="false">
      <c r="A4" s="1"/>
      <c r="B4" s="4" t="s">
        <v>2</v>
      </c>
      <c r="C4" s="4"/>
      <c r="D4" s="4" t="s">
        <v>3</v>
      </c>
      <c r="E4" s="4"/>
      <c r="F4" s="4" t="s">
        <v>4</v>
      </c>
      <c r="G4" s="4"/>
      <c r="H4" s="4" t="s">
        <v>5</v>
      </c>
      <c r="I4" s="4"/>
      <c r="J4" s="4" t="s">
        <v>6</v>
      </c>
      <c r="K4" s="4"/>
      <c r="L4" s="4" t="s">
        <v>7</v>
      </c>
      <c r="M4" s="4"/>
      <c r="N4" s="4" t="s">
        <v>8</v>
      </c>
      <c r="O4" s="4"/>
      <c r="P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/>
      <c r="B6" s="5" t="s">
        <v>9</v>
      </c>
      <c r="C6" s="5"/>
      <c r="D6" s="5" t="s">
        <v>10</v>
      </c>
      <c r="E6" s="5"/>
      <c r="F6" s="5" t="s">
        <v>11</v>
      </c>
      <c r="G6" s="5"/>
      <c r="H6" s="5" t="s">
        <v>12</v>
      </c>
      <c r="I6" s="5"/>
      <c r="J6" s="5"/>
      <c r="K6" s="5" t="s">
        <v>13</v>
      </c>
      <c r="L6" s="5"/>
      <c r="M6" s="5"/>
      <c r="N6" s="5"/>
      <c r="O6" s="5"/>
      <c r="P6" s="1"/>
    </row>
    <row r="7" customFormat="false" ht="24" hidden="false" customHeight="true" outlineLevel="0" collapsed="false">
      <c r="A7" s="1"/>
      <c r="B7" s="6"/>
      <c r="C7" s="6"/>
      <c r="D7" s="7" t="n">
        <f aca="true">IF(B7="",TODAY(),B7)</f>
        <v>46309</v>
      </c>
      <c r="E7" s="7"/>
      <c r="F7" s="8" t="n">
        <v>30</v>
      </c>
      <c r="G7" s="8"/>
      <c r="H7" s="8" t="s">
        <v>14</v>
      </c>
      <c r="I7" s="8"/>
      <c r="J7" s="8"/>
      <c r="K7" s="8" t="s">
        <v>15</v>
      </c>
      <c r="L7" s="8"/>
      <c r="M7" s="8"/>
      <c r="N7" s="8"/>
      <c r="O7" s="8"/>
      <c r="P7" s="1"/>
    </row>
    <row r="8" customFormat="false" ht="15" hidden="false" customHeight="false" outlineLevel="0" collapsed="false">
      <c r="A8" s="1"/>
      <c r="B8" s="9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8" hidden="false" customHeight="true" outlineLevel="0" collapsed="false">
      <c r="A10" s="1"/>
      <c r="B10" s="10" t="s">
        <v>17</v>
      </c>
      <c r="C10" s="10"/>
      <c r="D10" s="10"/>
      <c r="E10" s="10"/>
      <c r="F10" s="11" t="s">
        <v>18</v>
      </c>
      <c r="G10" s="11"/>
      <c r="H10" s="11"/>
      <c r="I10" s="12" t="s">
        <v>19</v>
      </c>
      <c r="J10" s="12"/>
      <c r="K10" s="12"/>
      <c r="L10" s="13" t="s">
        <v>20</v>
      </c>
      <c r="M10" s="13"/>
      <c r="N10" s="13"/>
      <c r="O10" s="13"/>
      <c r="P10" s="1"/>
    </row>
    <row r="11" customFormat="false" ht="30" hidden="false" customHeight="true" outlineLevel="0" collapsed="false">
      <c r="A11" s="1"/>
      <c r="B11" s="14" t="n">
        <f aca="false">IF('Datos gráficos'!$C$42=0,"Sin pendientes",'Datos gráficos'!$C$42)</f>
        <v>46374</v>
      </c>
      <c r="C11" s="14"/>
      <c r="D11" s="14"/>
      <c r="E11" s="14"/>
      <c r="F11" s="15" t="n">
        <f aca="false">'Datos gráficos'!$C$45</f>
        <v>2</v>
      </c>
      <c r="G11" s="15"/>
      <c r="H11" s="15"/>
      <c r="I11" s="15" t="n">
        <f aca="false">'Datos gráficos'!$C$46</f>
        <v>0</v>
      </c>
      <c r="J11" s="15"/>
      <c r="K11" s="15"/>
      <c r="L11" s="16" t="str">
        <f aca="false">'Datos gráficos'!$C$47&amp;" de 5  ·  "&amp;'Datos gráficos'!$C$48&amp;" aprob."</f>
        <v>1 de 5  ·  0 aprob.</v>
      </c>
      <c r="M11" s="16"/>
      <c r="N11" s="16"/>
      <c r="O11" s="16"/>
      <c r="P11" s="1"/>
    </row>
    <row r="12" customFormat="false" ht="30" hidden="false" customHeight="true" outlineLevel="0" collapsed="false">
      <c r="A12" s="1"/>
      <c r="B12" s="17" t="str">
        <f aca="false">IF('Datos gráficos'!$C$42=0,"No quedan productos con fecha futura.",'Datos gráficos'!$C$43&amp;": vence en "&amp;'Datos gráficos'!$C$44&amp;" días")</f>
        <v>Producto 3: vence en 65 días</v>
      </c>
      <c r="C12" s="17"/>
      <c r="D12" s="17"/>
      <c r="E12" s="17"/>
      <c r="F12" s="17" t="str">
        <f aca="false">IF('Datos gráficos'!$C$45&gt;0,"Sin marcar como entregados.","Ninguno para la fecha de referencia.")</f>
        <v>Sin marcar como entregados.</v>
      </c>
      <c r="G12" s="17"/>
      <c r="H12" s="17"/>
      <c r="I12" s="17" t="str">
        <f aca="false">"En los próximos "&amp;DiasAviso&amp;" días."</f>
        <v>En los próximos 30 días.</v>
      </c>
      <c r="J12" s="17"/>
      <c r="K12" s="17"/>
      <c r="L12" s="17" t="str">
        <f aca="false">"Avance físico (Adenda): "&amp;TEXT('Datos gráficos'!$C$49*100,"0")&amp;" %  ·  Observados: "&amp;'Datos gráficos'!$C$59</f>
        <v>Avance físico (Adenda): 30 %  ·  Observados: 0</v>
      </c>
      <c r="M12" s="17"/>
      <c r="N12" s="17"/>
      <c r="O12" s="17"/>
      <c r="P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8" hidden="false" customHeight="true" outlineLevel="0" collapsed="false">
      <c r="A14" s="1"/>
      <c r="B14" s="18" t="s">
        <v>21</v>
      </c>
      <c r="C14" s="18"/>
      <c r="D14" s="18"/>
      <c r="E14" s="18"/>
      <c r="F14" s="13" t="s">
        <v>22</v>
      </c>
      <c r="G14" s="13"/>
      <c r="H14" s="13"/>
      <c r="I14" s="10" t="s">
        <v>23</v>
      </c>
      <c r="J14" s="10"/>
      <c r="K14" s="10"/>
      <c r="L14" s="12" t="s">
        <v>24</v>
      </c>
      <c r="M14" s="12"/>
      <c r="N14" s="12"/>
      <c r="O14" s="12"/>
      <c r="P14" s="1"/>
    </row>
    <row r="15" customFormat="false" ht="30" hidden="false" customHeight="true" outlineLevel="0" collapsed="false">
      <c r="A15" s="1"/>
      <c r="B15" s="19" t="n">
        <f aca="false">TotalCARE</f>
        <v>471250</v>
      </c>
      <c r="C15" s="19"/>
      <c r="D15" s="19"/>
      <c r="E15" s="19"/>
      <c r="F15" s="19" t="n">
        <f aca="false">'Datos gráficos'!$C$14</f>
        <v>0</v>
      </c>
      <c r="G15" s="19"/>
      <c r="H15" s="19"/>
      <c r="I15" s="19" t="n">
        <f aca="false">'Datos gráficos'!$C$15</f>
        <v>0</v>
      </c>
      <c r="J15" s="19"/>
      <c r="K15" s="19"/>
      <c r="L15" s="19" t="n">
        <f aca="false">'Datos gráficos'!$C$57</f>
        <v>0</v>
      </c>
      <c r="M15" s="19"/>
      <c r="N15" s="19"/>
      <c r="O15" s="19"/>
      <c r="P15" s="1"/>
    </row>
    <row r="16" customFormat="false" ht="30" hidden="false" customHeight="true" outlineLevel="0" collapsed="false">
      <c r="A16" s="1"/>
      <c r="B16" s="17" t="str">
        <f aca="false">"Tope Profonanpe S/ "&amp;FIXED(Parámetros!C10,2)&amp;" con compra directa"</f>
        <v>Tope Profonanpe S/ 511,250.00 con compra directa</v>
      </c>
      <c r="C16" s="17"/>
      <c r="D16" s="17"/>
      <c r="E16" s="17"/>
      <c r="F16" s="17" t="str">
        <f aca="false">TEXT('Datos gráficos'!$C$50*100,"0")&amp;" % del monto"</f>
        <v>0 % del monto</v>
      </c>
      <c r="G16" s="17"/>
      <c r="H16" s="17"/>
      <c r="I16" s="17" t="str">
        <f aca="false">"En conformidad: S/ "&amp;FIXED('Datos gráficos'!$C$17,0)&amp;" · Falta rendir: S/ "&amp;FIXED('Datos gráficos'!$C$16,0)</f>
        <v>En conformidad: S/ 141,375 · Falta rendir: S/ 0</v>
      </c>
      <c r="J16" s="17"/>
      <c r="K16" s="17"/>
      <c r="L16" s="17" t="str">
        <f aca="false">"Rendido: S/ "&amp;FIXED('Datos gráficos'!$C$58,2)&amp;" · Dudas abiertas: "&amp;'Datos gráficos'!$C$54</f>
        <v>Rendido: S/ 0.00 · Dudas abiertas: 7</v>
      </c>
      <c r="M16" s="17"/>
      <c r="N16" s="17"/>
      <c r="O16" s="17"/>
      <c r="P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25.5" hidden="false" customHeight="true" outlineLevel="0" collapsed="false">
      <c r="A18" s="1"/>
      <c r="B18" s="20" t="str">
        <f aca="false">IF('Datos gráficos'!$C$45&gt;0,"⚠  "&amp;'Datos gráficos'!$C$45&amp;IF('Datos gráficos'!$C$45=1," producto figura como vencido"," productos figuran como vencidos")&amp;". Si ya se entregaron, marca «Sí» en la hoja Entregables (columna L).",IF('Datos gráficos'!$C$46&gt;0,"⏳  "&amp;'Datos gráficos'!$C$46&amp;" producto(s) por vencer en los próximos "&amp;DiasAviso&amp;" días.","✓  Sin productos vencidos ni por vencer para la fecha de referencia."))</f>
        <v>⚠  2 productos figuran como vencidos. Si ya se entregaron, marca «Sí» en la hoja Entregables (columna L).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customFormat="false" ht="21.75" hidden="false" customHeight="true" outlineLevel="0" collapsed="false">
      <c r="A20" s="1"/>
      <c r="B20" s="21" t="s">
        <v>25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1"/>
    </row>
    <row r="21" customFormat="false" ht="19.5" hidden="false" customHeight="true" outlineLevel="0" collapsed="false">
      <c r="A21" s="1"/>
      <c r="B21" s="22" t="str">
        <f aca="false">"TODOS"&amp;CHAR(10)&amp;5</f>
        <v>TODOS
5</v>
      </c>
      <c r="C21" s="22"/>
      <c r="D21" s="23" t="str">
        <f aca="false">"POR ENTREGAR"&amp;CHAR(10)&amp;'Datos gráficos'!$C$27</f>
        <v>POR ENTREGAR
2</v>
      </c>
      <c r="E21" s="23"/>
      <c r="F21" s="24" t="str">
        <f aca="false">"POR VENCER"&amp;CHAR(10)&amp;'Datos gráficos'!$C$28</f>
        <v>POR VENCER
0</v>
      </c>
      <c r="G21" s="24"/>
      <c r="H21" s="25" t="str">
        <f aca="false">"VENCIDOS"&amp;CHAR(10)&amp;'Datos gráficos'!$C$29</f>
        <v>VENCIDOS
2</v>
      </c>
      <c r="I21" s="25"/>
      <c r="J21" s="26" t="str">
        <f aca="false">"EN REVISIÓN"&amp;CHAR(10)&amp;'Datos gráficos'!$C$30</f>
        <v>EN REVISIÓN
1</v>
      </c>
      <c r="K21" s="26"/>
      <c r="L21" s="27" t="str">
        <f aca="false">"OBSERVADO"&amp;CHAR(10)&amp;'Datos gráficos'!$C$31</f>
        <v>OBSERVADO
0</v>
      </c>
      <c r="M21" s="27"/>
      <c r="N21" s="28" t="str">
        <f aca="false">"APROBADO"&amp;CHAR(10)&amp;'Datos gráficos'!$C$32</f>
        <v>APROBADO
0</v>
      </c>
      <c r="O21" s="28"/>
      <c r="P21" s="1"/>
    </row>
    <row r="22" customFormat="false" ht="19.5" hidden="false" customHeight="true" outlineLevel="0" collapsed="false">
      <c r="A22" s="1"/>
      <c r="B22" s="22"/>
      <c r="C22" s="22"/>
      <c r="D22" s="23"/>
      <c r="E22" s="23"/>
      <c r="F22" s="24"/>
      <c r="G22" s="24"/>
      <c r="H22" s="25"/>
      <c r="I22" s="25"/>
      <c r="J22" s="26"/>
      <c r="K22" s="26"/>
      <c r="L22" s="27"/>
      <c r="M22" s="27"/>
      <c r="N22" s="28"/>
      <c r="O22" s="28"/>
      <c r="P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customFormat="false" ht="21.75" hidden="false" customHeight="true" outlineLevel="0" collapsed="false">
      <c r="A24" s="1"/>
      <c r="B24" s="21" t="s">
        <v>26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"/>
    </row>
    <row r="25" customFormat="false" ht="19.5" hidden="false" customHeight="true" outlineLevel="0" collapsed="false">
      <c r="A25" s="1"/>
      <c r="B25" s="22" t="str">
        <f aca="false">"TODOS"&amp;CHAR(10)&amp;4</f>
        <v>TODOS
4</v>
      </c>
      <c r="C25" s="22"/>
      <c r="D25" s="28" t="str">
        <f aca="false">"DESEMBOLSADO"&amp;CHAR(10)&amp;'Datos gráficos'!$C$35</f>
        <v>DESEMBOLSADO
0</v>
      </c>
      <c r="E25" s="28"/>
      <c r="F25" s="23" t="str">
        <f aca="false">"LISTO PARA SOLICITAR"&amp;CHAR(10)&amp;'Datos gráficos'!$C$36</f>
        <v>LISTO PARA SOLICITAR
0</v>
      </c>
      <c r="G25" s="23"/>
      <c r="H25" s="24" t="str">
        <f aca="false">"FALTA RENDICIÓN"&amp;CHAR(10)&amp;'Datos gráficos'!$C$37</f>
        <v>FALTA RENDICIÓN
0</v>
      </c>
      <c r="I25" s="24"/>
      <c r="J25" s="26" t="str">
        <f aca="false">"EN CONFORMIDAD"&amp;CHAR(10)&amp;'Datos gráficos'!$C$38</f>
        <v>EN CONFORMIDAD
1</v>
      </c>
      <c r="K25" s="26"/>
      <c r="L25" s="29" t="str">
        <f aca="false">"PENDIENTE DE PRODUCTO"&amp;CHAR(10)&amp;'Datos gráficos'!$C$39</f>
        <v>PENDIENTE DE PRODUCTO
3</v>
      </c>
      <c r="M25" s="29"/>
      <c r="N25" s="30" t="str">
        <f aca="false">"RENDICIONES"&amp;CHAR(10)&amp;"S/ "&amp;FIXED('Datos gráficos'!$C$57,0)&amp;" por rendir"</f>
        <v>RENDICIONES
S/ 0 por rendir</v>
      </c>
      <c r="O25" s="30"/>
      <c r="P25" s="1"/>
    </row>
    <row r="26" customFormat="false" ht="19.5" hidden="false" customHeight="true" outlineLevel="0" collapsed="false">
      <c r="A26" s="1"/>
      <c r="B26" s="22"/>
      <c r="C26" s="22"/>
      <c r="D26" s="28"/>
      <c r="E26" s="28"/>
      <c r="F26" s="23"/>
      <c r="G26" s="23"/>
      <c r="H26" s="24"/>
      <c r="I26" s="24"/>
      <c r="J26" s="26"/>
      <c r="K26" s="26"/>
      <c r="L26" s="29"/>
      <c r="M26" s="29"/>
      <c r="N26" s="30"/>
      <c r="O26" s="30"/>
      <c r="P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customFormat="false" ht="19.5" hidden="false" customHeight="true" outlineLevel="0" collapsed="false">
      <c r="A28" s="1"/>
      <c r="B28" s="31" t="s">
        <v>27</v>
      </c>
      <c r="C28" s="31"/>
      <c r="D28" s="31"/>
      <c r="E28" s="31"/>
      <c r="F28" s="31"/>
      <c r="G28" s="32" t="n">
        <f aca="false">'Datos gráficos'!$C$49</f>
        <v>0.3</v>
      </c>
      <c r="H28" s="33" t="n">
        <f aca="false">'Datos gráficos'!$C$49</f>
        <v>0.3</v>
      </c>
      <c r="I28" s="33"/>
      <c r="J28" s="33"/>
      <c r="K28" s="33"/>
      <c r="L28" s="33"/>
      <c r="M28" s="34"/>
      <c r="N28" s="34"/>
      <c r="O28" s="34"/>
      <c r="P28" s="1"/>
    </row>
    <row r="29" customFormat="false" ht="19.5" hidden="false" customHeight="true" outlineLevel="0" collapsed="false">
      <c r="A29" s="1"/>
      <c r="B29" s="31" t="s">
        <v>28</v>
      </c>
      <c r="C29" s="31"/>
      <c r="D29" s="31"/>
      <c r="E29" s="31"/>
      <c r="F29" s="31"/>
      <c r="G29" s="32" t="n">
        <f aca="false">'Datos gráficos'!$C$50</f>
        <v>0</v>
      </c>
      <c r="H29" s="33" t="n">
        <f aca="false">'Datos gráficos'!$C$50</f>
        <v>0</v>
      </c>
      <c r="I29" s="33"/>
      <c r="J29" s="33"/>
      <c r="K29" s="33"/>
      <c r="L29" s="33"/>
      <c r="M29" s="34"/>
      <c r="N29" s="34"/>
      <c r="O29" s="34"/>
      <c r="P29" s="1"/>
    </row>
    <row r="30" customFormat="false" ht="19.5" hidden="false" customHeight="true" outlineLevel="0" collapsed="false">
      <c r="A30" s="1"/>
      <c r="B30" s="31" t="s">
        <v>29</v>
      </c>
      <c r="C30" s="31"/>
      <c r="D30" s="31"/>
      <c r="E30" s="31"/>
      <c r="F30" s="31"/>
      <c r="G30" s="32" t="n">
        <f aca="false">'Datos gráficos'!$C$51</f>
        <v>0</v>
      </c>
      <c r="H30" s="33" t="n">
        <f aca="false">'Datos gráficos'!$C$51</f>
        <v>0</v>
      </c>
      <c r="I30" s="33"/>
      <c r="J30" s="33"/>
      <c r="K30" s="33"/>
      <c r="L30" s="33"/>
      <c r="M30" s="34"/>
      <c r="N30" s="34"/>
      <c r="O30" s="34"/>
      <c r="P30" s="1"/>
    </row>
    <row r="31" customFormat="false" ht="19.5" hidden="false" customHeight="true" outlineLevel="0" collapsed="false">
      <c r="A31" s="1"/>
      <c r="B31" s="31" t="s">
        <v>30</v>
      </c>
      <c r="C31" s="31"/>
      <c r="D31" s="31"/>
      <c r="E31" s="31"/>
      <c r="F31" s="31"/>
      <c r="G31" s="32" t="n">
        <f aca="false">'Datos gráficos'!$C$52</f>
        <v>0.616298811544992</v>
      </c>
      <c r="H31" s="33" t="n">
        <f aca="false">'Datos gráficos'!$C$52</f>
        <v>0.616298811544992</v>
      </c>
      <c r="I31" s="33"/>
      <c r="J31" s="33"/>
      <c r="K31" s="33"/>
      <c r="L31" s="33"/>
      <c r="M31" s="35" t="str">
        <f aca="false">"Faltan "&amp;'Datos gráficos'!$C$53&amp;" días al cierre ("&amp;RIGHT("0"&amp;DAY(Cierre),2)&amp;"/"&amp;RIGHT("0"&amp;MONTH(Cierre),2)&amp;"/"&amp;YEAR(Cierre)&amp;")"</f>
        <v>Faltan 226 días al cierre (28/05/2027)</v>
      </c>
      <c r="N31" s="35"/>
      <c r="O31" s="35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21.75" hidden="false" customHeight="true" outlineLevel="0" collapsed="false">
      <c r="A33" s="1"/>
      <c r="B33" s="21" t="s">
        <v>31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"/>
    </row>
    <row r="34" customFormat="false" ht="6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9" t="str">
        <f aca="false">"Fecha de referencia: "&amp;RIGHT("0"&amp;DAY(FechaRef),2)&amp;"/"&amp;RIGHT("0"&amp;MONTH(FechaRef),2)&amp;"/"&amp;YEAR(FechaRef)&amp;". Detalle semanal con la semana actual marcada en la hoja «Línea de tiempo»."</f>
        <v>Fecha de referencia: 14/10/2026. Detalle semanal con la semana actual marcada en la hoja «Línea de tiempo».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21.75" hidden="false" customHeight="true" outlineLevel="0" collapsed="false">
      <c r="A54" s="1"/>
      <c r="B54" s="21" t="str">
        <f aca="false">"Productos  ·  filtro: "&amp;FiltroEstado&amp;"  ("&amp;'Datos gráficos'!$C$55&amp;" de 5)  —  cambia el filtro en la celda H7"</f>
        <v>Productos  ·  filtro: Todos  (5 de 5)  —  cambia el filtro en la celda H7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1"/>
    </row>
    <row r="55" customFormat="false" ht="25.5" hidden="false" customHeight="true" outlineLevel="0" collapsed="false">
      <c r="A55" s="1"/>
      <c r="B55" s="36" t="s">
        <v>32</v>
      </c>
      <c r="C55" s="36"/>
      <c r="D55" s="36" t="s">
        <v>33</v>
      </c>
      <c r="E55" s="36"/>
      <c r="F55" s="36"/>
      <c r="G55" s="36" t="s">
        <v>34</v>
      </c>
      <c r="H55" s="36" t="s">
        <v>35</v>
      </c>
      <c r="I55" s="36" t="s">
        <v>36</v>
      </c>
      <c r="J55" s="36"/>
      <c r="K55" s="36" t="s">
        <v>37</v>
      </c>
      <c r="L55" s="36"/>
      <c r="M55" s="36"/>
      <c r="N55" s="36"/>
      <c r="O55" s="36" t="s">
        <v>38</v>
      </c>
      <c r="P55" s="1"/>
    </row>
    <row r="56" customFormat="false" ht="30" hidden="false" customHeight="true" outlineLevel="0" collapsed="false">
      <c r="A56" s="1"/>
      <c r="B56" s="37" t="str">
        <f aca="false">IFERROR(INDEX(Entregables!$D$5:$D$9,MATCH(1,Entregables!$AB$5:$AB$9,0)),"")</f>
        <v>Producto 1</v>
      </c>
      <c r="C56" s="37"/>
      <c r="D56" s="38" t="str">
        <f aca="false">IFERROR(INDEX(Entregables!$E$5:$E$9,MATCH(1,Entregables!$AB$5:$AB$9,0)),"")</f>
        <v>Plan de trabajo y cronograma</v>
      </c>
      <c r="E56" s="38"/>
      <c r="F56" s="38"/>
      <c r="G56" s="39" t="n">
        <f aca="false">IFERROR(INDEX(Entregables!$H$5:$H$9,MATCH(1,Entregables!$AB$5:$AB$9,0)),"")</f>
        <v>46011</v>
      </c>
      <c r="H56" s="40" t="n">
        <f aca="false">IFERROR(INDEX(Entregables!$R$5:$R$9,MATCH(1,Entregables!$AB$5:$AB$9,0)),"")</f>
        <v>-298</v>
      </c>
      <c r="I56" s="41" t="str">
        <f aca="false">IFERROR(INDEX(Entregables!$S$5:$S$9,MATCH(1,Entregables!$AB$5:$AB$9,0)),"")</f>
        <v>En revisión</v>
      </c>
      <c r="J56" s="41"/>
      <c r="K56" s="38" t="str">
        <f aca="false">IFERROR(INDEX(Entregables!$T$5:$T$9,MATCH(1,Entregables!$AB$5:$AB$9,0)),"")</f>
        <v>Presentado el 30/11/2025; espera conformidad UGP/FAO</v>
      </c>
      <c r="L56" s="38"/>
      <c r="M56" s="38"/>
      <c r="N56" s="38"/>
      <c r="O56" s="41" t="str">
        <f aca="false">IFERROR(INDEX(Entregables!$K$5:$K$9,MATCH(1,Entregables!$AB$5:$AB$9,0)),"")</f>
        <v>D1</v>
      </c>
      <c r="P56" s="1"/>
    </row>
    <row r="57" customFormat="false" ht="30" hidden="false" customHeight="true" outlineLevel="0" collapsed="false">
      <c r="A57" s="1"/>
      <c r="B57" s="37" t="str">
        <f aca="false">IFERROR(INDEX(Entregables!$D$5:$D$9,MATCH(2,Entregables!$AB$5:$AB$9,0)),"")</f>
        <v>Producto 2 · Parte I</v>
      </c>
      <c r="C57" s="37"/>
      <c r="D57" s="38" t="str">
        <f aca="false">IFERROR(INDEX(Entregables!$E$5:$E$9,MATCH(2,Entregables!$AB$5:$AB$9,0)),"")</f>
        <v>Plan de capacitación y avances</v>
      </c>
      <c r="E57" s="38"/>
      <c r="F57" s="38"/>
      <c r="G57" s="39" t="n">
        <f aca="false">IFERROR(INDEX(Entregables!$H$5:$H$9,MATCH(2,Entregables!$AB$5:$AB$9,0)),"")</f>
        <v>46142</v>
      </c>
      <c r="H57" s="40" t="n">
        <f aca="false">IFERROR(INDEX(Entregables!$R$5:$R$9,MATCH(2,Entregables!$AB$5:$AB$9,0)),"")</f>
        <v>-167</v>
      </c>
      <c r="I57" s="41" t="str">
        <f aca="false">IFERROR(INDEX(Entregables!$S$5:$S$9,MATCH(2,Entregables!$AB$5:$AB$9,0)),"")</f>
        <v>Vencido</v>
      </c>
      <c r="J57" s="41"/>
      <c r="K57" s="38" t="str">
        <f aca="false">IFERROR(INDEX(Entregables!$T$5:$T$9,MATCH(2,Entregables!$AB$5:$AB$9,0)),"")</f>
        <v>Venció hace 167 días</v>
      </c>
      <c r="L57" s="38"/>
      <c r="M57" s="38"/>
      <c r="N57" s="38"/>
      <c r="O57" s="41" t="str">
        <f aca="false">IFERROR(INDEX(Entregables!$K$5:$K$9,MATCH(2,Entregables!$AB$5:$AB$9,0)),"")</f>
        <v>D2</v>
      </c>
      <c r="P57" s="1"/>
    </row>
    <row r="58" customFormat="false" ht="30" hidden="false" customHeight="true" outlineLevel="0" collapsed="false">
      <c r="A58" s="1"/>
      <c r="B58" s="37" t="str">
        <f aca="false">IFERROR(INDEX(Entregables!$D$5:$D$9,MATCH(3,Entregables!$AB$5:$AB$9,0)),"")</f>
        <v>Producto 2 · Parte II</v>
      </c>
      <c r="C58" s="37"/>
      <c r="D58" s="38" t="str">
        <f aca="false">IFERROR(INDEX(Entregables!$E$5:$E$9,MATCH(3,Entregables!$AB$5:$AB$9,0)),"")</f>
        <v>Plan de recuperación y fichas</v>
      </c>
      <c r="E58" s="38"/>
      <c r="F58" s="38"/>
      <c r="G58" s="39" t="n">
        <f aca="false">IFERROR(INDEX(Entregables!$H$5:$H$9,MATCH(3,Entregables!$AB$5:$AB$9,0)),"")</f>
        <v>46203</v>
      </c>
      <c r="H58" s="40" t="n">
        <f aca="false">IFERROR(INDEX(Entregables!$R$5:$R$9,MATCH(3,Entregables!$AB$5:$AB$9,0)),"")</f>
        <v>-106</v>
      </c>
      <c r="I58" s="41" t="str">
        <f aca="false">IFERROR(INDEX(Entregables!$S$5:$S$9,MATCH(3,Entregables!$AB$5:$AB$9,0)),"")</f>
        <v>Vencido</v>
      </c>
      <c r="J58" s="41"/>
      <c r="K58" s="38" t="str">
        <f aca="false">IFERROR(INDEX(Entregables!$T$5:$T$9,MATCH(3,Entregables!$AB$5:$AB$9,0)),"")</f>
        <v>Venció hace 106 días</v>
      </c>
      <c r="L58" s="38"/>
      <c r="M58" s="38"/>
      <c r="N58" s="38"/>
      <c r="O58" s="41" t="str">
        <f aca="false">IFERROR(INDEX(Entregables!$K$5:$K$9,MATCH(3,Entregables!$AB$5:$AB$9,0)),"")</f>
        <v>D2</v>
      </c>
      <c r="P58" s="1"/>
    </row>
    <row r="59" customFormat="false" ht="30" hidden="false" customHeight="true" outlineLevel="0" collapsed="false">
      <c r="A59" s="1"/>
      <c r="B59" s="37" t="str">
        <f aca="false">IFERROR(INDEX(Entregables!$D$5:$D$9,MATCH(4,Entregables!$AB$5:$AB$9,0)),"")</f>
        <v>Producto 3</v>
      </c>
      <c r="C59" s="37"/>
      <c r="D59" s="38" t="str">
        <f aca="false">IFERROR(INDEX(Entregables!$E$5:$E$9,MATCH(4,Entregables!$AB$5:$AB$9,0)),"")</f>
        <v>Pasantía, plantaciones y planes de vida</v>
      </c>
      <c r="E59" s="38"/>
      <c r="F59" s="38"/>
      <c r="G59" s="39" t="n">
        <f aca="false">IFERROR(INDEX(Entregables!$H$5:$H$9,MATCH(4,Entregables!$AB$5:$AB$9,0)),"")</f>
        <v>46374</v>
      </c>
      <c r="H59" s="40" t="n">
        <f aca="false">IFERROR(INDEX(Entregables!$R$5:$R$9,MATCH(4,Entregables!$AB$5:$AB$9,0)),"")</f>
        <v>65</v>
      </c>
      <c r="I59" s="41" t="str">
        <f aca="false">IFERROR(INDEX(Entregables!$S$5:$S$9,MATCH(4,Entregables!$AB$5:$AB$9,0)),"")</f>
        <v>Por entregar</v>
      </c>
      <c r="J59" s="41"/>
      <c r="K59" s="38" t="str">
        <f aca="false">IFERROR(INDEX(Entregables!$T$5:$T$9,MATCH(4,Entregables!$AB$5:$AB$9,0)),"")</f>
        <v>Vence en 65 días</v>
      </c>
      <c r="L59" s="38"/>
      <c r="M59" s="38"/>
      <c r="N59" s="38"/>
      <c r="O59" s="41" t="str">
        <f aca="false">IFERROR(INDEX(Entregables!$K$5:$K$9,MATCH(4,Entregables!$AB$5:$AB$9,0)),"")</f>
        <v>D3</v>
      </c>
      <c r="P59" s="1"/>
    </row>
    <row r="60" customFormat="false" ht="30" hidden="false" customHeight="true" outlineLevel="0" collapsed="false">
      <c r="A60" s="1"/>
      <c r="B60" s="37" t="str">
        <f aca="false">IFERROR(INDEX(Entregables!$D$5:$D$9,MATCH(5,Entregables!$AB$5:$AB$9,0)),"")</f>
        <v>Producto 4</v>
      </c>
      <c r="C60" s="37"/>
      <c r="D60" s="38" t="str">
        <f aca="false">IFERROR(INDEX(Entregables!$E$5:$E$9,MATCH(5,Entregables!$AB$5:$AB$9,0)),"")</f>
        <v>Informe final y resultados</v>
      </c>
      <c r="E60" s="38"/>
      <c r="F60" s="38"/>
      <c r="G60" s="39" t="n">
        <f aca="false">IFERROR(INDEX(Entregables!$H$5:$H$9,MATCH(5,Entregables!$AB$5:$AB$9,0)),"")</f>
        <v>46507</v>
      </c>
      <c r="H60" s="40" t="n">
        <f aca="false">IFERROR(INDEX(Entregables!$R$5:$R$9,MATCH(5,Entregables!$AB$5:$AB$9,0)),"")</f>
        <v>198</v>
      </c>
      <c r="I60" s="41" t="str">
        <f aca="false">IFERROR(INDEX(Entregables!$S$5:$S$9,MATCH(5,Entregables!$AB$5:$AB$9,0)),"")</f>
        <v>Por entregar</v>
      </c>
      <c r="J60" s="41"/>
      <c r="K60" s="38" t="str">
        <f aca="false">IFERROR(INDEX(Entregables!$T$5:$T$9,MATCH(5,Entregables!$AB$5:$AB$9,0)),"")</f>
        <v>Vence en 198 días</v>
      </c>
      <c r="L60" s="38"/>
      <c r="M60" s="38"/>
      <c r="N60" s="38"/>
      <c r="O60" s="41" t="str">
        <f aca="false">IFERROR(INDEX(Entregables!$K$5:$K$9,MATCH(5,Entregables!$AB$5:$AB$9,0)),"")</f>
        <v>D4</v>
      </c>
      <c r="P60" s="1"/>
    </row>
    <row r="61" customFormat="false" ht="15" hidden="false" customHeight="false" outlineLevel="0" collapsed="false">
      <c r="A61" s="1"/>
      <c r="B61" s="42" t="str">
        <f aca="false">IF('Datos gráficos'!$C$55=0,"No hay productos en este estado para la fecha de referencia.","")</f>
        <v/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21.75" hidden="false" customHeight="true" outlineLevel="0" collapsed="false">
      <c r="A63" s="1"/>
      <c r="B63" s="21" t="s">
        <v>39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1"/>
    </row>
    <row r="64" customFormat="false" ht="25.5" hidden="false" customHeight="true" outlineLevel="0" collapsed="false">
      <c r="A64" s="1"/>
      <c r="B64" s="36" t="s">
        <v>38</v>
      </c>
      <c r="C64" s="36" t="s">
        <v>40</v>
      </c>
      <c r="D64" s="36"/>
      <c r="E64" s="36" t="s">
        <v>41</v>
      </c>
      <c r="F64" s="36"/>
      <c r="G64" s="36" t="s">
        <v>42</v>
      </c>
      <c r="H64" s="36" t="s">
        <v>43</v>
      </c>
      <c r="I64" s="36" t="s">
        <v>44</v>
      </c>
      <c r="J64" s="36" t="s">
        <v>36</v>
      </c>
      <c r="K64" s="36"/>
      <c r="L64" s="36" t="s">
        <v>45</v>
      </c>
      <c r="M64" s="36"/>
      <c r="N64" s="36"/>
      <c r="O64" s="36" t="s">
        <v>46</v>
      </c>
      <c r="P64" s="1"/>
    </row>
    <row r="65" customFormat="false" ht="43.5" hidden="false" customHeight="true" outlineLevel="0" collapsed="false">
      <c r="A65" s="1"/>
      <c r="B65" s="43" t="str">
        <f aca="false">Desembolsos!A5</f>
        <v>D1</v>
      </c>
      <c r="C65" s="44" t="n">
        <f aca="false">Desembolsos!B5</f>
        <v>141375</v>
      </c>
      <c r="D65" s="44"/>
      <c r="E65" s="38" t="str">
        <f aca="false">Desembolsos!G5</f>
        <v>Producto 1</v>
      </c>
      <c r="F65" s="38"/>
      <c r="G65" s="39" t="n">
        <f aca="false">Desembolsos!I5</f>
        <v>46011</v>
      </c>
      <c r="H65" s="41" t="str">
        <f aca="false">Desembolsos!L5</f>
        <v>No</v>
      </c>
      <c r="I65" s="41" t="str">
        <f aca="false">Desembolsos!N5</f>
        <v>Sí</v>
      </c>
      <c r="J65" s="41" t="str">
        <f aca="false">Desembolsos!T5</f>
        <v>En conformidad</v>
      </c>
      <c r="K65" s="41"/>
      <c r="L65" s="45" t="str">
        <f aca="false">Desembolsos!U5</f>
        <v>Conseguir la opinión técnica del Componente 2 y las conformidades del Coordinador y de FAO</v>
      </c>
      <c r="M65" s="45"/>
      <c r="N65" s="45"/>
      <c r="O65" s="39" t="str">
        <f aca="false">IF(Desembolsos!P5="","",Desembolsos!P5)</f>
        <v/>
      </c>
      <c r="P65" s="1"/>
    </row>
    <row r="66" customFormat="false" ht="43.5" hidden="false" customHeight="true" outlineLevel="0" collapsed="false">
      <c r="A66" s="1"/>
      <c r="B66" s="43" t="str">
        <f aca="false">Desembolsos!A6</f>
        <v>D2</v>
      </c>
      <c r="C66" s="44" t="n">
        <f aca="false">Desembolsos!B6</f>
        <v>141375</v>
      </c>
      <c r="D66" s="44"/>
      <c r="E66" s="38" t="str">
        <f aca="false">Desembolsos!G6</f>
        <v>Producto 2 (Parte I y Parte II)</v>
      </c>
      <c r="F66" s="38"/>
      <c r="G66" s="39" t="n">
        <f aca="false">Desembolsos!I6</f>
        <v>46203</v>
      </c>
      <c r="H66" s="41" t="str">
        <f aca="false">Desembolsos!L6</f>
        <v>No</v>
      </c>
      <c r="I66" s="41" t="str">
        <f aca="false">Desembolsos!N6</f>
        <v>No</v>
      </c>
      <c r="J66" s="41" t="str">
        <f aca="false">Desembolsos!T6</f>
        <v>Pendiente de producto</v>
      </c>
      <c r="K66" s="41"/>
      <c r="L66" s="45" t="str">
        <f aca="false">Desembolsos!U6</f>
        <v>Presentar Producto 2 (Parte I y Parte II) (vence el 30/06/2026)</v>
      </c>
      <c r="M66" s="45"/>
      <c r="N66" s="45"/>
      <c r="O66" s="39" t="str">
        <f aca="false">IF(Desembolsos!P6="","",Desembolsos!P6)</f>
        <v/>
      </c>
      <c r="P66" s="1"/>
    </row>
    <row r="67" customFormat="false" ht="43.5" hidden="false" customHeight="true" outlineLevel="0" collapsed="false">
      <c r="A67" s="1"/>
      <c r="B67" s="43" t="str">
        <f aca="false">Desembolsos!A7</f>
        <v>D3</v>
      </c>
      <c r="C67" s="44" t="n">
        <f aca="false">Desembolsos!B7</f>
        <v>117812</v>
      </c>
      <c r="D67" s="44"/>
      <c r="E67" s="38" t="str">
        <f aca="false">Desembolsos!G7</f>
        <v>Producto 3</v>
      </c>
      <c r="F67" s="38"/>
      <c r="G67" s="39" t="n">
        <f aca="false">Desembolsos!I7</f>
        <v>46374</v>
      </c>
      <c r="H67" s="41" t="str">
        <f aca="false">Desembolsos!L7</f>
        <v>No</v>
      </c>
      <c r="I67" s="41" t="str">
        <f aca="false">Desembolsos!N7</f>
        <v>No</v>
      </c>
      <c r="J67" s="41" t="str">
        <f aca="false">Desembolsos!T7</f>
        <v>Pendiente de producto</v>
      </c>
      <c r="K67" s="41"/>
      <c r="L67" s="45" t="str">
        <f aca="false">Desembolsos!U7</f>
        <v>Presentar Producto 3 (vence el 18/12/2026)</v>
      </c>
      <c r="M67" s="45"/>
      <c r="N67" s="45"/>
      <c r="O67" s="39" t="str">
        <f aca="false">IF(Desembolsos!P7="","",Desembolsos!P7)</f>
        <v/>
      </c>
      <c r="P67" s="1"/>
    </row>
    <row r="68" customFormat="false" ht="43.5" hidden="false" customHeight="true" outlineLevel="0" collapsed="false">
      <c r="A68" s="1"/>
      <c r="B68" s="43" t="str">
        <f aca="false">Desembolsos!A8</f>
        <v>D4</v>
      </c>
      <c r="C68" s="44" t="n">
        <f aca="false">Desembolsos!B8</f>
        <v>70688</v>
      </c>
      <c r="D68" s="44"/>
      <c r="E68" s="38" t="str">
        <f aca="false">Desembolsos!G8</f>
        <v>Producto 4</v>
      </c>
      <c r="F68" s="38"/>
      <c r="G68" s="39" t="n">
        <f aca="false">Desembolsos!I8</f>
        <v>46507</v>
      </c>
      <c r="H68" s="41" t="str">
        <f aca="false">Desembolsos!L8</f>
        <v>No</v>
      </c>
      <c r="I68" s="41" t="str">
        <f aca="false">Desembolsos!N8</f>
        <v>No</v>
      </c>
      <c r="J68" s="41" t="str">
        <f aca="false">Desembolsos!T8</f>
        <v>Pendiente de producto</v>
      </c>
      <c r="K68" s="41"/>
      <c r="L68" s="45" t="str">
        <f aca="false">Desembolsos!U8</f>
        <v>Presentar Producto 4 (vence el 30/04/2027)</v>
      </c>
      <c r="M68" s="45"/>
      <c r="N68" s="45"/>
      <c r="O68" s="39" t="str">
        <f aca="false">IF(Desembolsos!P8="","",Desembolsos!P8)</f>
        <v/>
      </c>
      <c r="P68" s="1"/>
    </row>
    <row r="69" customFormat="false" ht="15" hidden="false" customHeight="false" outlineLevel="0" collapsed="false">
      <c r="A69" s="1"/>
      <c r="B69" s="46" t="s">
        <v>47</v>
      </c>
      <c r="C69" s="47" t="n">
        <f aca="false">TotalCARE</f>
        <v>471250</v>
      </c>
      <c r="D69" s="47"/>
      <c r="E69" s="9" t="s">
        <v>48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21.75" hidden="false" customHeight="true" outlineLevel="0" collapsed="false">
      <c r="A71" s="1"/>
      <c r="B71" s="21" t="s">
        <v>49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1"/>
    </row>
    <row r="72" customFormat="false" ht="19.5" hidden="false" customHeight="true" outlineLevel="0" collapsed="false">
      <c r="A72" s="1"/>
      <c r="B72" s="48" t="s">
        <v>50</v>
      </c>
      <c r="C72" s="1"/>
      <c r="D72" s="1"/>
      <c r="E72" s="1"/>
      <c r="F72" s="1"/>
      <c r="G72" s="48" t="s">
        <v>51</v>
      </c>
      <c r="H72" s="1"/>
      <c r="I72" s="1"/>
      <c r="J72" s="1"/>
      <c r="K72" s="1"/>
      <c r="L72" s="48" t="s">
        <v>52</v>
      </c>
      <c r="M72" s="1"/>
      <c r="N72" s="1"/>
      <c r="O72" s="1"/>
      <c r="P72" s="1"/>
    </row>
    <row r="73" customFormat="false" ht="7.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customFormat="false" ht="21.75" hidden="false" customHeight="true" outlineLevel="0" collapsed="false">
      <c r="A91" s="1"/>
      <c r="B91" s="21" t="str">
        <f aca="false">"Ficha del producto: "&amp;ProdSel&amp;"  —  cámbialo en la celda K7"</f>
        <v>Ficha del producto: Producto 3  —  cámbialo en la celda K7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"/>
    </row>
    <row r="92" customFormat="false" ht="19.5" hidden="false" customHeight="true" outlineLevel="0" collapsed="false">
      <c r="A92" s="1"/>
      <c r="B92" s="49" t="s">
        <v>33</v>
      </c>
      <c r="C92" s="49"/>
      <c r="D92" s="49"/>
      <c r="E92" s="50" t="str">
        <f aca="false">INDEX(Entregables!$E$5:$E$9,'Datos gráficos'!$C$56)</f>
        <v>Pasantía, plantaciones y planes de vida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1"/>
    </row>
    <row r="93" customFormat="false" ht="19.5" hidden="false" customHeight="true" outlineLevel="0" collapsed="false">
      <c r="A93" s="1"/>
      <c r="B93" s="49" t="s">
        <v>53</v>
      </c>
      <c r="C93" s="49"/>
      <c r="D93" s="49"/>
      <c r="E93" s="50" t="str">
        <f aca="false">"Día "&amp;INDEX(Entregables!$F$5:$F$9,'Datos gráficos'!$C$56)&amp;" desde el inicio: "&amp;RIGHT("0"&amp;DAY(INDEX(Entregables!$H$5:$H$9,'Datos gráficos'!$C$56)),2)&amp;"/"&amp;RIGHT("0"&amp;MONTH(INDEX(Entregables!$H$5:$H$9,'Datos gráficos'!$C$56)),2)&amp;"/"&amp;YEAR(INDEX(Entregables!$H$5:$H$9,'Datos gráficos'!$C$56))&amp;"  (ventana del "&amp;RIGHT("0"&amp;DAY(INDEX(Entregables!$G$5:$G$9,'Datos gráficos'!$C$56)),2)&amp;"/"&amp;RIGHT("0"&amp;MONTH(INDEX(Entregables!$G$5:$G$9,'Datos gráficos'!$C$56)),2)&amp;"/"&amp;YEAR(INDEX(Entregables!$G$5:$G$9,'Datos gráficos'!$C$56))&amp;", día "&amp;INDEX(Entregables!$I$5:$I$9,'Datos gráficos'!$C$56)&amp;")"</f>
        <v>Día 428 desde el inicio: 18/12/2026  (ventana del 01/07/2026, día 258)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1"/>
    </row>
    <row r="94" customFormat="false" ht="19.5" hidden="false" customHeight="true" outlineLevel="0" collapsed="false">
      <c r="A94" s="1"/>
      <c r="B94" s="49" t="s">
        <v>54</v>
      </c>
      <c r="C94" s="49"/>
      <c r="D94" s="49"/>
      <c r="E94" s="50" t="str">
        <f aca="false">"Día "&amp;INDEX(Entregables!$V$5:$V$9,'Datos gráficos'!$C$56)&amp;" ("&amp;RIGHT("0"&amp;DAY(INDEX(Entregables!$W$5:$W$9,'Datos gráficos'!$C$56)),2)&amp;"/"&amp;RIGHT("0"&amp;MONTH(INDEX(Entregables!$W$5:$W$9,'Datos gráficos'!$C$56)),2)&amp;"/"&amp;YEAR(INDEX(Entregables!$W$5:$W$9,'Datos gráficos'!$C$56))&amp;"). La Adenda lo amplió "&amp;INDEX(Entregables!$X$5:$X$9,'Datos gráficos'!$C$56)&amp;" días."</f>
        <v>Día 360 (11/10/2026). La Adenda lo amplió 68 días.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1"/>
    </row>
    <row r="95" customFormat="false" ht="19.5" hidden="false" customHeight="true" outlineLevel="0" collapsed="false">
      <c r="A95" s="1"/>
      <c r="B95" s="49" t="s">
        <v>36</v>
      </c>
      <c r="C95" s="49"/>
      <c r="D95" s="49"/>
      <c r="E95" s="50" t="str">
        <f aca="false">INDEX(Entregables!$S$5:$S$9,'Datos gráficos'!$C$56)</f>
        <v>Por entregar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1"/>
    </row>
    <row r="96" customFormat="false" ht="19.5" hidden="false" customHeight="true" outlineLevel="0" collapsed="false">
      <c r="A96" s="1"/>
      <c r="B96" s="49" t="s">
        <v>37</v>
      </c>
      <c r="C96" s="49"/>
      <c r="D96" s="49"/>
      <c r="E96" s="50" t="str">
        <f aca="false">INDEX(Entregables!$T$5:$T$9,'Datos gráficos'!$C$56)</f>
        <v>Vence en 65 días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1"/>
    </row>
    <row r="97" customFormat="false" ht="19.5" hidden="false" customHeight="true" outlineLevel="0" collapsed="false">
      <c r="A97" s="1"/>
      <c r="B97" s="49" t="s">
        <v>55</v>
      </c>
      <c r="C97" s="49"/>
      <c r="D97" s="49"/>
      <c r="E97" s="50" t="str">
        <f aca="false">IF(INDEX(Entregables!$U$5:$U$9,'Datos gráficos'!$C$56)="","Aún no entregado",INDEX(Entregables!$U$5:$U$9,'Datos gráficos'!$C$56))</f>
        <v>Aún no entregado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1"/>
    </row>
    <row r="98" customFormat="false" ht="19.5" hidden="false" customHeight="true" outlineLevel="0" collapsed="false">
      <c r="A98" s="1"/>
      <c r="B98" s="49" t="s">
        <v>56</v>
      </c>
      <c r="C98" s="49"/>
      <c r="D98" s="49"/>
      <c r="E98" s="51" t="n">
        <f aca="false">INDEX(Entregables!$J$5:$J$9,'Datos gráficos'!$C$56)</f>
        <v>0.2</v>
      </c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1"/>
    </row>
    <row r="99" customFormat="false" ht="31.5" hidden="false" customHeight="true" outlineLevel="0" collapsed="false">
      <c r="A99" s="1"/>
      <c r="B99" s="49" t="s">
        <v>57</v>
      </c>
      <c r="C99" s="49"/>
      <c r="D99" s="49"/>
      <c r="E99" s="50" t="str">
        <f aca="false">INDEX(Desembolsos!$A$5:$A$8,MATCH(INDEX(Entregables!$K$5:$K$9,'Datos gráficos'!$C$56),Desembolsos!$A$5:$A$8,0))&amp;" · S/ "&amp;FIXED(INDEX(Desembolsos!$B$5:$B$8,MATCH(INDEX(Entregables!$K$5:$K$9,'Datos gráficos'!$C$56),Desembolsos!$A$5:$A$8,0)),2)&amp;" · "&amp;INDEX(Desembolsos!$T$5:$T$8,MATCH(INDEX(Entregables!$K$5:$K$9,'Datos gráficos'!$C$56),Desembolsos!$A$5:$A$8,0))&amp;". "&amp;INDEX(Desembolsos!$U$5:$U$8,MATCH(INDEX(Entregables!$K$5:$K$9,'Datos gráficos'!$C$56),Desembolsos!$A$5:$A$8,0))</f>
        <v>D3 · S/ 117,812.00 · Pendiente de producto. Presentar Producto 3 (vence el 18/12/2026)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1"/>
    </row>
    <row r="100" customFormat="false" ht="19.5" hidden="false" customHeight="true" outlineLevel="0" collapsed="false">
      <c r="A100" s="1"/>
      <c r="B100" s="49" t="s">
        <v>58</v>
      </c>
      <c r="C100" s="49"/>
      <c r="D100" s="49"/>
      <c r="E100" s="50" t="str">
        <f aca="false">INDEX(Entregables!$Y$5:$Y$9,'Datos gráficos'!$C$56)</f>
        <v>el informe final de implementación de planes de vida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1"/>
    </row>
    <row r="101" customFormat="false" ht="99.75" hidden="false" customHeight="true" outlineLevel="0" collapsed="false">
      <c r="A101" s="1"/>
      <c r="B101" s="49" t="s">
        <v>59</v>
      </c>
      <c r="C101" s="49"/>
      <c r="D101" s="49"/>
      <c r="E101" s="50" t="str">
        <f aca="false">INDEX(Entregables!$Z$5:$Z$9,'Datos gráficos'!$C$56)</f>
        <v>• Informe de pasantía en recuperación: aprendizajes, lecciones y hallazgos replicables.
• Evaluación temprana de plantaciones según el modelo de recuperación seleccionado y adaptado.
• Informe de avances en acciones de recuperación, por comunidad y paisaje.
• Informe (final) de implementación de planes de vida, con enfoque de género. (*)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customFormat="false" ht="25.5" hidden="false" customHeight="true" outlineLevel="0" collapsed="false">
      <c r="A103" s="1"/>
      <c r="B103" s="52" t="s">
        <v>60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</sheetData>
  <mergeCells count="141">
    <mergeCell ref="B4:C4"/>
    <mergeCell ref="D4:E4"/>
    <mergeCell ref="F4:G4"/>
    <mergeCell ref="H4:I4"/>
    <mergeCell ref="J4:K4"/>
    <mergeCell ref="L4:M4"/>
    <mergeCell ref="N4:O4"/>
    <mergeCell ref="B6:C6"/>
    <mergeCell ref="D6:E6"/>
    <mergeCell ref="F6:G6"/>
    <mergeCell ref="H6:J6"/>
    <mergeCell ref="K6:O6"/>
    <mergeCell ref="B7:C7"/>
    <mergeCell ref="D7:E7"/>
    <mergeCell ref="F7:G7"/>
    <mergeCell ref="H7:J7"/>
    <mergeCell ref="K7:O7"/>
    <mergeCell ref="B10:E10"/>
    <mergeCell ref="F10:H10"/>
    <mergeCell ref="I10:K10"/>
    <mergeCell ref="L10:O10"/>
    <mergeCell ref="B11:E11"/>
    <mergeCell ref="F11:H11"/>
    <mergeCell ref="I11:K11"/>
    <mergeCell ref="L11:O11"/>
    <mergeCell ref="B12:E12"/>
    <mergeCell ref="F12:H12"/>
    <mergeCell ref="I12:K12"/>
    <mergeCell ref="L12:O12"/>
    <mergeCell ref="B14:E14"/>
    <mergeCell ref="F14:H14"/>
    <mergeCell ref="I14:K14"/>
    <mergeCell ref="L14:O14"/>
    <mergeCell ref="B15:E15"/>
    <mergeCell ref="F15:H15"/>
    <mergeCell ref="I15:K15"/>
    <mergeCell ref="L15:O15"/>
    <mergeCell ref="B16:E16"/>
    <mergeCell ref="F16:H16"/>
    <mergeCell ref="I16:K16"/>
    <mergeCell ref="L16:O16"/>
    <mergeCell ref="B18:O18"/>
    <mergeCell ref="B20:O20"/>
    <mergeCell ref="B21:C22"/>
    <mergeCell ref="D21:E22"/>
    <mergeCell ref="F21:G22"/>
    <mergeCell ref="H21:I22"/>
    <mergeCell ref="J21:K22"/>
    <mergeCell ref="L21:M22"/>
    <mergeCell ref="N21:O22"/>
    <mergeCell ref="B24:O24"/>
    <mergeCell ref="B25:C26"/>
    <mergeCell ref="D25:E26"/>
    <mergeCell ref="F25:G26"/>
    <mergeCell ref="H25:I26"/>
    <mergeCell ref="J25:K26"/>
    <mergeCell ref="L25:M26"/>
    <mergeCell ref="N25:O26"/>
    <mergeCell ref="B28:F28"/>
    <mergeCell ref="H28:L28"/>
    <mergeCell ref="M28:O28"/>
    <mergeCell ref="B29:F29"/>
    <mergeCell ref="H29:L29"/>
    <mergeCell ref="M29:O29"/>
    <mergeCell ref="B30:F30"/>
    <mergeCell ref="H30:L30"/>
    <mergeCell ref="M30:O30"/>
    <mergeCell ref="B31:F31"/>
    <mergeCell ref="H31:L31"/>
    <mergeCell ref="M31:O31"/>
    <mergeCell ref="B33:O33"/>
    <mergeCell ref="B54:O54"/>
    <mergeCell ref="B55:C55"/>
    <mergeCell ref="D55:F55"/>
    <mergeCell ref="I55:J55"/>
    <mergeCell ref="K55:N55"/>
    <mergeCell ref="B56:C56"/>
    <mergeCell ref="D56:F56"/>
    <mergeCell ref="I56:J56"/>
    <mergeCell ref="K56:N56"/>
    <mergeCell ref="B57:C57"/>
    <mergeCell ref="D57:F57"/>
    <mergeCell ref="I57:J57"/>
    <mergeCell ref="K57:N57"/>
    <mergeCell ref="B58:C58"/>
    <mergeCell ref="D58:F58"/>
    <mergeCell ref="I58:J58"/>
    <mergeCell ref="K58:N58"/>
    <mergeCell ref="B59:C59"/>
    <mergeCell ref="D59:F59"/>
    <mergeCell ref="I59:J59"/>
    <mergeCell ref="K59:N59"/>
    <mergeCell ref="B60:C60"/>
    <mergeCell ref="D60:F60"/>
    <mergeCell ref="I60:J60"/>
    <mergeCell ref="K60:N60"/>
    <mergeCell ref="B63:O63"/>
    <mergeCell ref="C64:D64"/>
    <mergeCell ref="E64:F64"/>
    <mergeCell ref="J64:K64"/>
    <mergeCell ref="L64:N64"/>
    <mergeCell ref="C65:D65"/>
    <mergeCell ref="E65:F65"/>
    <mergeCell ref="J65:K65"/>
    <mergeCell ref="L65:N65"/>
    <mergeCell ref="C66:D66"/>
    <mergeCell ref="E66:F66"/>
    <mergeCell ref="J66:K66"/>
    <mergeCell ref="L66:N66"/>
    <mergeCell ref="C67:D67"/>
    <mergeCell ref="E67:F67"/>
    <mergeCell ref="J67:K67"/>
    <mergeCell ref="L67:N67"/>
    <mergeCell ref="C68:D68"/>
    <mergeCell ref="E68:F68"/>
    <mergeCell ref="J68:K68"/>
    <mergeCell ref="L68:N68"/>
    <mergeCell ref="C69:D69"/>
    <mergeCell ref="B71:O71"/>
    <mergeCell ref="B91:O91"/>
    <mergeCell ref="B92:D92"/>
    <mergeCell ref="E92:O92"/>
    <mergeCell ref="B93:D93"/>
    <mergeCell ref="E93:O93"/>
    <mergeCell ref="B94:D94"/>
    <mergeCell ref="E94:O94"/>
    <mergeCell ref="B95:D95"/>
    <mergeCell ref="E95:O95"/>
    <mergeCell ref="B96:D96"/>
    <mergeCell ref="E96:O96"/>
    <mergeCell ref="B97:D97"/>
    <mergeCell ref="E97:O97"/>
    <mergeCell ref="B98:D98"/>
    <mergeCell ref="E98:O98"/>
    <mergeCell ref="B99:D99"/>
    <mergeCell ref="E99:O99"/>
    <mergeCell ref="B100:D100"/>
    <mergeCell ref="E100:O100"/>
    <mergeCell ref="B101:D101"/>
    <mergeCell ref="E101:O101"/>
    <mergeCell ref="B103:O103"/>
  </mergeCells>
  <conditionalFormatting sqref="B18:O18">
    <cfRule type="expression" priority="2" aboveAverage="0" equalAverage="0" bottom="0" percent="0" rank="0" text="" dxfId="0">
      <formula>'Datos gráficos'!$C$45&gt;0</formula>
    </cfRule>
    <cfRule type="expression" priority="3" aboveAverage="0" equalAverage="0" bottom="0" percent="0" rank="0" text="" dxfId="1">
      <formula>'Datos gráficos'!$C$46&gt;0</formula>
    </cfRule>
    <cfRule type="expression" priority="4" aboveAverage="0" equalAverage="0" bottom="0" percent="0" rank="0" text="" dxfId="2">
      <formula>1</formula>
    </cfRule>
  </conditionalFormatting>
  <conditionalFormatting sqref="D21:E22">
    <cfRule type="expression" priority="5" aboveAverage="0" equalAverage="0" bottom="0" percent="0" rank="0" text="" dxfId="3">
      <formula>'Datos gráficos'!$C$27=0</formula>
    </cfRule>
  </conditionalFormatting>
  <conditionalFormatting sqref="F21:G22">
    <cfRule type="expression" priority="6" aboveAverage="0" equalAverage="0" bottom="0" percent="0" rank="0" text="" dxfId="3">
      <formula>'Datos gráficos'!$C$28=0</formula>
    </cfRule>
  </conditionalFormatting>
  <conditionalFormatting sqref="H21:I22">
    <cfRule type="expression" priority="7" aboveAverage="0" equalAverage="0" bottom="0" percent="0" rank="0" text="" dxfId="3">
      <formula>'Datos gráficos'!$C$29=0</formula>
    </cfRule>
  </conditionalFormatting>
  <conditionalFormatting sqref="J21:K22">
    <cfRule type="expression" priority="8" aboveAverage="0" equalAverage="0" bottom="0" percent="0" rank="0" text="" dxfId="3">
      <formula>'Datos gráficos'!$C$30=0</formula>
    </cfRule>
  </conditionalFormatting>
  <conditionalFormatting sqref="L21:M22">
    <cfRule type="expression" priority="9" aboveAverage="0" equalAverage="0" bottom="0" percent="0" rank="0" text="" dxfId="3">
      <formula>'Datos gráficos'!$C$31=0</formula>
    </cfRule>
  </conditionalFormatting>
  <conditionalFormatting sqref="N21:O22">
    <cfRule type="expression" priority="10" aboveAverage="0" equalAverage="0" bottom="0" percent="0" rank="0" text="" dxfId="3">
      <formula>'Datos gráficos'!$C$32=0</formula>
    </cfRule>
  </conditionalFormatting>
  <conditionalFormatting sqref="D25:E26">
    <cfRule type="expression" priority="11" aboveAverage="0" equalAverage="0" bottom="0" percent="0" rank="0" text="" dxfId="3">
      <formula>'Datos gráficos'!$C$35=0</formula>
    </cfRule>
  </conditionalFormatting>
  <conditionalFormatting sqref="F25:G26">
    <cfRule type="expression" priority="12" aboveAverage="0" equalAverage="0" bottom="0" percent="0" rank="0" text="" dxfId="3">
      <formula>'Datos gráficos'!$C$36=0</formula>
    </cfRule>
  </conditionalFormatting>
  <conditionalFormatting sqref="H25:I26">
    <cfRule type="expression" priority="13" aboveAverage="0" equalAverage="0" bottom="0" percent="0" rank="0" text="" dxfId="3">
      <formula>'Datos gráficos'!$C$37=0</formula>
    </cfRule>
  </conditionalFormatting>
  <conditionalFormatting sqref="J25:K26">
    <cfRule type="expression" priority="14" aboveAverage="0" equalAverage="0" bottom="0" percent="0" rank="0" text="" dxfId="3">
      <formula>'Datos gráficos'!$C$38=0</formula>
    </cfRule>
  </conditionalFormatting>
  <conditionalFormatting sqref="L25:M26">
    <cfRule type="expression" priority="15" aboveAverage="0" equalAverage="0" bottom="0" percent="0" rank="0" text="" dxfId="3">
      <formula>'Datos gráficos'!$C$39=0</formula>
    </cfRule>
  </conditionalFormatting>
  <conditionalFormatting sqref="N25:O26">
    <cfRule type="expression" priority="16" aboveAverage="0" equalAverage="0" bottom="0" percent="0" rank="0" text="" dxfId="3">
      <formula>"S/ "&amp;FIXED('Datos gráficos'!$C$57,0)&amp;" por rendir"=0</formula>
    </cfRule>
  </conditionalFormatting>
  <conditionalFormatting sqref="H28">
    <cfRule type="dataBar" priority="17">
      <dataBar showValue="0" minLength="10" maxLength="90">
        <cfvo type="num" val="0"/>
        <cfvo type="num" val="1"/>
        <color rgb="FF2F7D3E"/>
      </dataBar>
      <extLst>
        <ext xmlns:x14="http://schemas.microsoft.com/office/spreadsheetml/2009/9/main" uri="{B025F937-C7B1-47D3-B67F-A62EFF666E3E}">
          <x14:id>{802AD02C-E568-4781-9A9E-D564EBCC28B9}</x14:id>
        </ext>
      </extLst>
    </cfRule>
  </conditionalFormatting>
  <conditionalFormatting sqref="H29">
    <cfRule type="dataBar" priority="18">
      <dataBar showValue="0" minLength="10" maxLength="90">
        <cfvo type="num" val="0"/>
        <cfvo type="num" val="1"/>
        <color rgb="FF0E6F78"/>
      </dataBar>
      <extLst>
        <ext xmlns:x14="http://schemas.microsoft.com/office/spreadsheetml/2009/9/main" uri="{B025F937-C7B1-47D3-B67F-A62EFF666E3E}">
          <x14:id>{E3B470C9-16ED-4BC0-AD61-91ECB79E9DD0}</x14:id>
        </ext>
      </extLst>
    </cfRule>
  </conditionalFormatting>
  <conditionalFormatting sqref="H30">
    <cfRule type="dataBar" priority="19">
      <dataBar showValue="0" minLength="10" maxLength="90">
        <cfvo type="num" val="0"/>
        <cfvo type="num" val="1"/>
        <color rgb="FFB26B00"/>
      </dataBar>
      <extLst>
        <ext xmlns:x14="http://schemas.microsoft.com/office/spreadsheetml/2009/9/main" uri="{B025F937-C7B1-47D3-B67F-A62EFF666E3E}">
          <x14:id>{85EBC16A-2170-4E54-8260-F02D3D2AC1AD}</x14:id>
        </ext>
      </extLst>
    </cfRule>
  </conditionalFormatting>
  <conditionalFormatting sqref="H31">
    <cfRule type="dataBar" priority="20">
      <dataBar showValue="0" minLength="10" maxLength="90">
        <cfvo type="num" val="0"/>
        <cfvo type="num" val="1"/>
        <color rgb="FF3D5A99"/>
      </dataBar>
      <extLst>
        <ext xmlns:x14="http://schemas.microsoft.com/office/spreadsheetml/2009/9/main" uri="{B025F937-C7B1-47D3-B67F-A62EFF666E3E}">
          <x14:id>{1CEB775F-15B2-4D75-A4D7-43CE9671BC24}</x14:id>
        </ext>
      </extLst>
    </cfRule>
  </conditionalFormatting>
  <conditionalFormatting sqref="I56:J60">
    <cfRule type="expression" priority="21" aboveAverage="0" equalAverage="0" bottom="0" percent="0" rank="0" text="" dxfId="4">
      <formula>I56="Por entregar"</formula>
    </cfRule>
    <cfRule type="expression" priority="22" aboveAverage="0" equalAverage="0" bottom="0" percent="0" rank="0" text="" dxfId="1">
      <formula>I56="Por vencer"</formula>
    </cfRule>
    <cfRule type="expression" priority="23" aboveAverage="0" equalAverage="0" bottom="0" percent="0" rank="0" text="" dxfId="0">
      <formula>I56="Vencido"</formula>
    </cfRule>
    <cfRule type="expression" priority="24" aboveAverage="0" equalAverage="0" bottom="0" percent="0" rank="0" text="" dxfId="5">
      <formula>I56="En revisión"</formula>
    </cfRule>
    <cfRule type="expression" priority="25" aboveAverage="0" equalAverage="0" bottom="0" percent="0" rank="0" text="" dxfId="6">
      <formula>I56="Observado"</formula>
    </cfRule>
    <cfRule type="expression" priority="26" aboveAverage="0" equalAverage="0" bottom="0" percent="0" rank="0" text="" dxfId="2">
      <formula>I56="Aprobado"</formula>
    </cfRule>
  </conditionalFormatting>
  <conditionalFormatting sqref="H56:H60">
    <cfRule type="expression" priority="27" aboveAverage="0" equalAverage="0" bottom="0" percent="0" rank="0" text="" dxfId="7">
      <formula>AND(ISNUMBER(H56),H56&lt;0,I56="Vencido")</formula>
    </cfRule>
  </conditionalFormatting>
  <conditionalFormatting sqref="J65:K68">
    <cfRule type="expression" priority="28" aboveAverage="0" equalAverage="0" bottom="0" percent="0" rank="0" text="" dxfId="2">
      <formula>J65="Desembolsado"</formula>
    </cfRule>
    <cfRule type="expression" priority="29" aboveAverage="0" equalAverage="0" bottom="0" percent="0" rank="0" text="" dxfId="4">
      <formula>J65="Listo para solicitar"</formula>
    </cfRule>
    <cfRule type="expression" priority="30" aboveAverage="0" equalAverage="0" bottom="0" percent="0" rank="0" text="" dxfId="1">
      <formula>J65="Falta rendición"</formula>
    </cfRule>
    <cfRule type="expression" priority="31" aboveAverage="0" equalAverage="0" bottom="0" percent="0" rank="0" text="" dxfId="5">
      <formula>J65="En conformidad"</formula>
    </cfRule>
    <cfRule type="expression" priority="32" aboveAverage="0" equalAverage="0" bottom="0" percent="0" rank="0" text="" dxfId="8">
      <formula>J65="Pendiente de producto"</formula>
    </cfRule>
  </conditionalFormatting>
  <conditionalFormatting sqref="H65:I68">
    <cfRule type="cellIs" priority="33" operator="equal" aboveAverage="0" equalAverage="0" bottom="0" percent="0" rank="0" text="" dxfId="9">
      <formula>"Sí"</formula>
    </cfRule>
    <cfRule type="cellIs" priority="34" operator="equal" aboveAverage="0" equalAverage="0" bottom="0" percent="0" rank="0" text="" dxfId="7">
      <formula>"No"</formula>
    </cfRule>
  </conditionalFormatting>
  <conditionalFormatting sqref="E95">
    <cfRule type="expression" priority="35" aboveAverage="0" equalAverage="0" bottom="0" percent="0" rank="0" text="" dxfId="4">
      <formula>E95="Por entregar"</formula>
    </cfRule>
    <cfRule type="expression" priority="36" aboveAverage="0" equalAverage="0" bottom="0" percent="0" rank="0" text="" dxfId="1">
      <formula>E95="Por vencer"</formula>
    </cfRule>
    <cfRule type="expression" priority="37" aboveAverage="0" equalAverage="0" bottom="0" percent="0" rank="0" text="" dxfId="0">
      <formula>E95="Vencido"</formula>
    </cfRule>
    <cfRule type="expression" priority="38" aboveAverage="0" equalAverage="0" bottom="0" percent="0" rank="0" text="" dxfId="5">
      <formula>E95="En revisión"</formula>
    </cfRule>
    <cfRule type="expression" priority="39" aboveAverage="0" equalAverage="0" bottom="0" percent="0" rank="0" text="" dxfId="6">
      <formula>E95="Observado"</formula>
    </cfRule>
    <cfRule type="expression" priority="40" aboveAverage="0" equalAverage="0" bottom="0" percent="0" rank="0" text="" dxfId="2">
      <formula>E95="Aprobado"</formula>
    </cfRule>
  </conditionalFormatting>
  <dataValidations count="4">
    <dataValidation allowBlank="true" error="Ingresa una fecha válida o deja vacío para usar hoy." errorStyle="stop" operator="greaterThan" showDropDown="false" showErrorMessage="true" showInputMessage="false" sqref="B7" type="date">
      <formula1>40000</formula1>
      <formula2>0</formula2>
    </dataValidation>
    <dataValidation allowBlank="false" error="Elige un valor de la lista." errorStyle="stop" operator="between" showDropDown="false" showErrorMessage="true" showInputMessage="false" sqref="F7" type="list">
      <formula1>Parámetros!$J$5:$J$9</formula1>
      <formula2>0</formula2>
    </dataValidation>
    <dataValidation allowBlank="false" error="Elige un estado de la lista." errorStyle="stop" operator="between" showDropDown="false" showErrorMessage="true" showInputMessage="false" sqref="H7" type="list">
      <formula1>Parámetros!$F$5:$F$11</formula1>
      <formula2>0</formula2>
    </dataValidation>
    <dataValidation allowBlank="false" error="Elige un producto de la lista." errorStyle="stop" operator="between" showDropDown="false" showErrorMessage="true" showInputMessage="false" sqref="K7" type="list">
      <formula1>Entregables!$D$5:$D$9</formula1>
      <formula2>0</formula2>
    </dataValidation>
  </dataValidations>
  <hyperlinks>
    <hyperlink ref="B4" location="'Entregables'!A1" display="▸ Entregables"/>
    <hyperlink ref="D4" location="'Desembolsos'!A1" display="▸ Desembolsos"/>
    <hyperlink ref="F4" location="'Vistas'!A1" display="▸ Vistas por estado"/>
    <hyperlink ref="H4" location="'Línea de tiempo'!A1" display="▸ Línea de tiempo"/>
    <hyperlink ref="J4" location="'Comparativo'!A1" display="▸ Comparativo"/>
    <hyperlink ref="L4" location="'Paso a paso'!A1" display="▸ Paso a paso"/>
    <hyperlink ref="N4" location="'Dudas'!A1" display="▸ Dudas"/>
    <hyperlink ref="B21" location="'Vistas'!B10" display="#'Vistas'.B10"/>
    <hyperlink ref="D21" location="'Vistas'!B18" display="#'Vistas'.B18"/>
    <hyperlink ref="F21" location="'Vistas'!B26" display="#'Vistas'.B26"/>
    <hyperlink ref="H21" location="'Vistas'!B34" display="#'Vistas'.B34"/>
    <hyperlink ref="J21" location="'Vistas'!B42" display="#'Vistas'.B42"/>
    <hyperlink ref="L21" location="'Vistas'!B50" display="#'Vistas'.B50"/>
    <hyperlink ref="N21" location="'Vistas'!B58" display="#'Vistas'.B58"/>
    <hyperlink ref="B25" location="'Vistas'!B66" display="#'Vistas'.B66"/>
    <hyperlink ref="D25" location="'Vistas'!B73" display="#'Vistas'.B73"/>
    <hyperlink ref="F25" location="'Vistas'!B80" display="#'Vistas'.B80"/>
    <hyperlink ref="H25" location="'Vistas'!B87" display="#'Vistas'.B87"/>
    <hyperlink ref="J25" location="'Vistas'!B94" display="#'Vistas'.B94"/>
    <hyperlink ref="L25" location="'Vistas'!B101" display="#'Vistas'.B101"/>
    <hyperlink ref="N25" location="'Desembolsos'!Q4" display="#'Desembolsos'.Q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AD02C-E568-4781-9A9E-D564EBCC28B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3E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E3B470C9-16ED-4BC0-AD61-91ECB79E9DD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6F78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85EBC16A-2170-4E54-8260-F02D3D2AC1A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26B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1CEB775F-15B2-4D75-A4D7-43CE9671BC2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3D5A99"/>
              <x14:axisColor rgb="FF000000"/>
            </x14:dataBar>
          </x14:cfRule>
          <xm:sqref>H31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F78"/>
    <pageSetUpPr fitToPage="true"/>
  </sheetPr>
  <dimension ref="A1:A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1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7" min="15" style="0" width="12"/>
    <col collapsed="false" customWidth="true" hidden="false" outlineLevel="0" max="18" min="18" style="0" width="9"/>
    <col collapsed="false" customWidth="true" hidden="false" outlineLevel="0" max="19" min="19" style="0" width="13"/>
    <col collapsed="false" customWidth="true" hidden="false" outlineLevel="0" max="20" min="20" style="0" width="30"/>
    <col collapsed="false" customWidth="true" hidden="false" outlineLevel="0" max="21" min="21" style="0" width="15"/>
    <col collapsed="false" customWidth="true" hidden="false" outlineLevel="0" max="22" min="22" style="0" width="9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30"/>
    <col collapsed="false" customWidth="true" hidden="false" outlineLevel="0" max="26" min="26" style="0" width="70"/>
    <col collapsed="false" customWidth="true" hidden="false" outlineLevel="0" max="35" min="27" style="0" width="8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62</v>
      </c>
    </row>
    <row r="3" customFormat="false" ht="15" hidden="false" customHeight="false" outlineLevel="0" collapsed="false">
      <c r="B3" s="55" t="s">
        <v>63</v>
      </c>
      <c r="L3" s="56" t="s">
        <v>64</v>
      </c>
    </row>
    <row r="4" customFormat="false" ht="42" hidden="false" customHeight="true" outlineLevel="0" collapsed="false">
      <c r="A4" s="36" t="s">
        <v>65</v>
      </c>
      <c r="B4" s="36" t="s">
        <v>32</v>
      </c>
      <c r="C4" s="36" t="s">
        <v>66</v>
      </c>
      <c r="D4" s="36" t="s">
        <v>67</v>
      </c>
      <c r="E4" s="36" t="s">
        <v>33</v>
      </c>
      <c r="F4" s="36" t="s">
        <v>68</v>
      </c>
      <c r="G4" s="36" t="s">
        <v>69</v>
      </c>
      <c r="H4" s="36" t="s">
        <v>70</v>
      </c>
      <c r="I4" s="36" t="s">
        <v>71</v>
      </c>
      <c r="J4" s="36" t="s">
        <v>72</v>
      </c>
      <c r="K4" s="36" t="s">
        <v>73</v>
      </c>
      <c r="L4" s="36" t="s">
        <v>74</v>
      </c>
      <c r="M4" s="36" t="s">
        <v>75</v>
      </c>
      <c r="N4" s="36" t="s">
        <v>76</v>
      </c>
      <c r="O4" s="36" t="s">
        <v>77</v>
      </c>
      <c r="P4" s="36" t="s">
        <v>78</v>
      </c>
      <c r="Q4" s="36" t="s">
        <v>79</v>
      </c>
      <c r="R4" s="36" t="s">
        <v>35</v>
      </c>
      <c r="S4" s="36" t="s">
        <v>36</v>
      </c>
      <c r="T4" s="36" t="s">
        <v>37</v>
      </c>
      <c r="U4" s="36" t="s">
        <v>80</v>
      </c>
      <c r="V4" s="36" t="s">
        <v>81</v>
      </c>
      <c r="W4" s="36" t="s">
        <v>82</v>
      </c>
      <c r="X4" s="36" t="s">
        <v>83</v>
      </c>
      <c r="Y4" s="36" t="s">
        <v>84</v>
      </c>
      <c r="Z4" s="36" t="s">
        <v>85</v>
      </c>
      <c r="AA4" s="36" t="s">
        <v>86</v>
      </c>
      <c r="AB4" s="36" t="s">
        <v>87</v>
      </c>
      <c r="AC4" s="36" t="s">
        <v>14</v>
      </c>
      <c r="AD4" s="36" t="s">
        <v>88</v>
      </c>
      <c r="AE4" s="36" t="s">
        <v>89</v>
      </c>
      <c r="AF4" s="36" t="s">
        <v>90</v>
      </c>
      <c r="AG4" s="36" t="s">
        <v>91</v>
      </c>
      <c r="AH4" s="36" t="s">
        <v>92</v>
      </c>
      <c r="AI4" s="36" t="s">
        <v>93</v>
      </c>
    </row>
    <row r="5" customFormat="false" ht="39.75" hidden="false" customHeight="true" outlineLevel="0" collapsed="false">
      <c r="A5" s="57" t="s">
        <v>94</v>
      </c>
      <c r="B5" s="57" t="s">
        <v>95</v>
      </c>
      <c r="C5" s="57"/>
      <c r="D5" s="58" t="str">
        <f aca="false">B5&amp;IF(C5="",""," · "&amp;C5)</f>
        <v>Producto 1</v>
      </c>
      <c r="E5" s="57" t="s">
        <v>96</v>
      </c>
      <c r="F5" s="59" t="n">
        <v>65</v>
      </c>
      <c r="G5" s="60" t="n">
        <f aca="false">Inicio</f>
        <v>45946</v>
      </c>
      <c r="H5" s="60" t="n">
        <f aca="false">Inicio+F5</f>
        <v>46011</v>
      </c>
      <c r="I5" s="57" t="n">
        <v>0</v>
      </c>
      <c r="J5" s="61" t="n">
        <v>0.3</v>
      </c>
      <c r="K5" s="57" t="s">
        <v>97</v>
      </c>
      <c r="L5" s="59" t="s">
        <v>98</v>
      </c>
      <c r="M5" s="62" t="n">
        <v>45991</v>
      </c>
      <c r="N5" s="59" t="s">
        <v>91</v>
      </c>
      <c r="O5" s="62"/>
      <c r="P5" s="60" t="str">
        <f aca="false">IF(O5="","",O5+DiasSubsanar)</f>
        <v/>
      </c>
      <c r="Q5" s="62"/>
      <c r="R5" s="63" t="n">
        <f aca="false">H5-FechaRef</f>
        <v>-298</v>
      </c>
      <c r="S5" s="57" t="str">
        <f aca="false">IF(L5="Sí",IF(N5="Conforme","Aprobado",IF(N5="Observado","Observado","En revisión")),IF(R5&lt;0,"Vencido",IF(R5&lt;=DiasAviso,"Por vencer","Por entregar")))</f>
        <v>En revisión</v>
      </c>
      <c r="T5" s="57" t="str">
        <f aca="false">IF(S5="Aprobado","Conforme"&amp;IF(Q5&lt;&gt;""," desde el "&amp;RIGHT("0"&amp;DAY(Q5),2)&amp;"/"&amp;RIGHT("0"&amp;MONTH(Q5),2)&amp;"/"&amp;YEAR(Q5),""),IF(S5="Observado",IF(P5="","Observado: registra la fecha de observación",IF(P5&gt;=FechaRef,"Subsanar hasta el "&amp;RIGHT("0"&amp;DAY(P5),2)&amp;"/"&amp;RIGHT("0"&amp;MONTH(P5),2)&amp;"/"&amp;YEAR(P5)&amp;" (faltan "&amp;(P5-FechaRef)&amp;" días)","Plazo para subsanar vencido el "&amp;RIGHT("0"&amp;DAY(P5),2)&amp;"/"&amp;RIGHT("0"&amp;MONTH(P5),2)&amp;"/"&amp;YEAR(P5))),IF(S5="En revisión",IF(M5&lt;&gt;"","Presentado el "&amp;RIGHT("0"&amp;DAY(M5),2)&amp;"/"&amp;RIGHT("0"&amp;MONTH(M5),2)&amp;"/"&amp;YEAR(M5)&amp;"; espera conformidad UGP/FAO","Entregado; espera conformidad UGP/FAO"),IF(R5&lt;0,"Venció hace "&amp;-R5&amp;IF(R5=-1," día"," días"),IF(R5=0,"Vence hoy","Vence en "&amp;R5&amp;IF(R5=1," día"," días"))))))</f>
        <v>Presentado el 30/11/2025; espera conformidad UGP/FAO</v>
      </c>
      <c r="U5" s="57" t="str">
        <f aca="false">IF(L5&lt;&gt;"Sí","",IF(M5="","Sin fecha registrada",IF(M5&lt;=H5,"A tiempo","Con "&amp;(M5-H5)&amp;" días de retraso")))</f>
        <v>A tiempo</v>
      </c>
      <c r="V5" s="57" t="n">
        <v>15</v>
      </c>
      <c r="W5" s="60" t="n">
        <f aca="false">Inicio+V5</f>
        <v>45961</v>
      </c>
      <c r="X5" s="64" t="n">
        <f aca="false">F5-V5</f>
        <v>50</v>
      </c>
      <c r="Y5" s="57" t="s">
        <v>99</v>
      </c>
      <c r="Z5" s="57" t="s">
        <v>100</v>
      </c>
      <c r="AA5" s="65" t="b">
        <f aca="false">OR(FiltroEstado="Todos",S5=FiltroEstado)</f>
        <v>1</v>
      </c>
      <c r="AB5" s="66" t="n">
        <f aca="false">IF(AA5,COUNTIF($AA$5:AA5,TRUE()),"")</f>
        <v>1</v>
      </c>
      <c r="AC5" s="66" t="n">
        <f aca="false">ROW()-4</f>
        <v>1</v>
      </c>
      <c r="AD5" s="66" t="str">
        <f aca="false">IF($S5=AD$4,COUNTIF($S$5:$S5,AD$4),"")</f>
        <v/>
      </c>
      <c r="AE5" s="66" t="str">
        <f aca="false">IF($S5=AE$4,COUNTIF($S$5:$S5,AE$4),"")</f>
        <v/>
      </c>
      <c r="AF5" s="66" t="str">
        <f aca="false">IF($S5=AF$4,COUNTIF($S$5:$S5,AF$4),"")</f>
        <v/>
      </c>
      <c r="AG5" s="66" t="n">
        <f aca="false">IF($S5=AG$4,COUNTIF($S$5:$S5,AG$4),"")</f>
        <v>1</v>
      </c>
      <c r="AH5" s="66" t="str">
        <f aca="false">IF($S5=AH$4,COUNTIF($S$5:$S5,AH$4),"")</f>
        <v/>
      </c>
      <c r="AI5" s="66" t="str">
        <f aca="false">IF($S5=AI$4,COUNTIF($S$5:$S5,AI$4),"")</f>
        <v/>
      </c>
      <c r="AJ5" s="67"/>
    </row>
    <row r="6" customFormat="false" ht="48" hidden="false" customHeight="true" outlineLevel="0" collapsed="false">
      <c r="A6" s="57" t="s">
        <v>101</v>
      </c>
      <c r="B6" s="57" t="s">
        <v>102</v>
      </c>
      <c r="C6" s="57" t="s">
        <v>103</v>
      </c>
      <c r="D6" s="58" t="str">
        <f aca="false">B6&amp;IF(C6="",""," · "&amp;C6)</f>
        <v>Producto 2 · Parte I</v>
      </c>
      <c r="E6" s="57" t="s">
        <v>104</v>
      </c>
      <c r="F6" s="59" t="n">
        <v>196</v>
      </c>
      <c r="G6" s="60" t="n">
        <f aca="false">H5+1</f>
        <v>46012</v>
      </c>
      <c r="H6" s="60" t="n">
        <f aca="false">Inicio+F6</f>
        <v>46142</v>
      </c>
      <c r="I6" s="57" t="n">
        <f aca="false">F5+1</f>
        <v>66</v>
      </c>
      <c r="J6" s="61" t="n">
        <v>0.2</v>
      </c>
      <c r="K6" s="57" t="s">
        <v>105</v>
      </c>
      <c r="L6" s="59" t="s">
        <v>106</v>
      </c>
      <c r="M6" s="62"/>
      <c r="N6" s="59"/>
      <c r="O6" s="62"/>
      <c r="P6" s="60" t="str">
        <f aca="false">IF(O6="","",O6+DiasSubsanar)</f>
        <v/>
      </c>
      <c r="Q6" s="62"/>
      <c r="R6" s="63" t="n">
        <f aca="false">H6-FechaRef</f>
        <v>-167</v>
      </c>
      <c r="S6" s="57" t="str">
        <f aca="false">IF(L6="Sí",IF(N6="Conforme","Aprobado",IF(N6="Observado","Observado","En revisión")),IF(R6&lt;0,"Vencido",IF(R6&lt;=DiasAviso,"Por vencer","Por entregar")))</f>
        <v>Vencido</v>
      </c>
      <c r="T6" s="57" t="str">
        <f aca="false">IF(S6="Aprobado","Conforme"&amp;IF(Q6&lt;&gt;""," desde el "&amp;RIGHT("0"&amp;DAY(Q6),2)&amp;"/"&amp;RIGHT("0"&amp;MONTH(Q6),2)&amp;"/"&amp;YEAR(Q6),""),IF(S6="Observado",IF(P6="","Observado: registra la fecha de observación",IF(P6&gt;=FechaRef,"Subsanar hasta el "&amp;RIGHT("0"&amp;DAY(P6),2)&amp;"/"&amp;RIGHT("0"&amp;MONTH(P6),2)&amp;"/"&amp;YEAR(P6)&amp;" (faltan "&amp;(P6-FechaRef)&amp;" días)","Plazo para subsanar vencido el "&amp;RIGHT("0"&amp;DAY(P6),2)&amp;"/"&amp;RIGHT("0"&amp;MONTH(P6),2)&amp;"/"&amp;YEAR(P6))),IF(S6="En revisión",IF(M6&lt;&gt;"","Presentado el "&amp;RIGHT("0"&amp;DAY(M6),2)&amp;"/"&amp;RIGHT("0"&amp;MONTH(M6),2)&amp;"/"&amp;YEAR(M6)&amp;"; espera conformidad UGP/FAO","Entregado; espera conformidad UGP/FAO"),IF(R6&lt;0,"Venció hace "&amp;-R6&amp;IF(R6=-1," día"," días"),IF(R6=0,"Vence hoy","Vence en "&amp;R6&amp;IF(R6=1," día"," días"))))))</f>
        <v>Venció hace 167 días</v>
      </c>
      <c r="U6" s="57" t="str">
        <f aca="false">IF(L6&lt;&gt;"Sí","",IF(M6="","Sin fecha registrada",IF(M6&lt;=H6,"A tiempo","Con "&amp;(M6-H6)&amp;" días de retraso")))</f>
        <v/>
      </c>
      <c r="V6" s="57" t="n">
        <v>180</v>
      </c>
      <c r="W6" s="60" t="n">
        <f aca="false">Inicio+V6</f>
        <v>46126</v>
      </c>
      <c r="X6" s="64" t="n">
        <f aca="false">F6-V6</f>
        <v>16</v>
      </c>
      <c r="Y6" s="57" t="s">
        <v>107</v>
      </c>
      <c r="Z6" s="57" t="s">
        <v>108</v>
      </c>
      <c r="AA6" s="65" t="b">
        <f aca="false">OR(FiltroEstado="Todos",S6=FiltroEstado)</f>
        <v>1</v>
      </c>
      <c r="AB6" s="66" t="n">
        <f aca="false">IF(AA6,COUNTIF($AA$5:AA6,TRUE()),"")</f>
        <v>2</v>
      </c>
      <c r="AC6" s="66" t="n">
        <f aca="false">ROW()-4</f>
        <v>2</v>
      </c>
      <c r="AD6" s="66" t="str">
        <f aca="false">IF($S6=AD$4,COUNTIF($S$5:$S6,AD$4),"")</f>
        <v/>
      </c>
      <c r="AE6" s="66" t="str">
        <f aca="false">IF($S6=AE$4,COUNTIF($S$5:$S6,AE$4),"")</f>
        <v/>
      </c>
      <c r="AF6" s="66" t="n">
        <f aca="false">IF($S6=AF$4,COUNTIF($S$5:$S6,AF$4),"")</f>
        <v>1</v>
      </c>
      <c r="AG6" s="66" t="str">
        <f aca="false">IF($S6=AG$4,COUNTIF($S$5:$S6,AG$4),"")</f>
        <v/>
      </c>
      <c r="AH6" s="66" t="str">
        <f aca="false">IF($S6=AH$4,COUNTIF($S$5:$S6,AH$4),"")</f>
        <v/>
      </c>
      <c r="AI6" s="66" t="str">
        <f aca="false">IF($S6=AI$4,COUNTIF($S$5:$S6,AI$4),"")</f>
        <v/>
      </c>
      <c r="AJ6" s="67"/>
    </row>
    <row r="7" customFormat="false" ht="48" hidden="false" customHeight="true" outlineLevel="0" collapsed="false">
      <c r="A7" s="57" t="s">
        <v>109</v>
      </c>
      <c r="B7" s="57" t="s">
        <v>102</v>
      </c>
      <c r="C7" s="57" t="s">
        <v>110</v>
      </c>
      <c r="D7" s="58" t="str">
        <f aca="false">B7&amp;IF(C7="",""," · "&amp;C7)</f>
        <v>Producto 2 · Parte II</v>
      </c>
      <c r="E7" s="57" t="s">
        <v>111</v>
      </c>
      <c r="F7" s="59" t="n">
        <v>257</v>
      </c>
      <c r="G7" s="60" t="n">
        <f aca="false">H6+1</f>
        <v>46143</v>
      </c>
      <c r="H7" s="60" t="n">
        <f aca="false">Inicio+F7</f>
        <v>46203</v>
      </c>
      <c r="I7" s="57" t="n">
        <f aca="false">F6+1</f>
        <v>197</v>
      </c>
      <c r="J7" s="61" t="n">
        <v>0.15</v>
      </c>
      <c r="K7" s="57" t="s">
        <v>105</v>
      </c>
      <c r="L7" s="59" t="s">
        <v>106</v>
      </c>
      <c r="M7" s="62"/>
      <c r="N7" s="59"/>
      <c r="O7" s="62"/>
      <c r="P7" s="60" t="str">
        <f aca="false">IF(O7="","",O7+DiasSubsanar)</f>
        <v/>
      </c>
      <c r="Q7" s="62"/>
      <c r="R7" s="63" t="n">
        <f aca="false">H7-FechaRef</f>
        <v>-106</v>
      </c>
      <c r="S7" s="57" t="str">
        <f aca="false">IF(L7="Sí",IF(N7="Conforme","Aprobado",IF(N7="Observado","Observado","En revisión")),IF(R7&lt;0,"Vencido",IF(R7&lt;=DiasAviso,"Por vencer","Por entregar")))</f>
        <v>Vencido</v>
      </c>
      <c r="T7" s="57" t="str">
        <f aca="false">IF(S7="Aprobado","Conforme"&amp;IF(Q7&lt;&gt;""," desde el "&amp;RIGHT("0"&amp;DAY(Q7),2)&amp;"/"&amp;RIGHT("0"&amp;MONTH(Q7),2)&amp;"/"&amp;YEAR(Q7),""),IF(S7="Observado",IF(P7="","Observado: registra la fecha de observación",IF(P7&gt;=FechaRef,"Subsanar hasta el "&amp;RIGHT("0"&amp;DAY(P7),2)&amp;"/"&amp;RIGHT("0"&amp;MONTH(P7),2)&amp;"/"&amp;YEAR(P7)&amp;" (faltan "&amp;(P7-FechaRef)&amp;" días)","Plazo para subsanar vencido el "&amp;RIGHT("0"&amp;DAY(P7),2)&amp;"/"&amp;RIGHT("0"&amp;MONTH(P7),2)&amp;"/"&amp;YEAR(P7))),IF(S7="En revisión",IF(M7&lt;&gt;"","Presentado el "&amp;RIGHT("0"&amp;DAY(M7),2)&amp;"/"&amp;RIGHT("0"&amp;MONTH(M7),2)&amp;"/"&amp;YEAR(M7)&amp;"; espera conformidad UGP/FAO","Entregado; espera conformidad UGP/FAO"),IF(R7&lt;0,"Venció hace "&amp;-R7&amp;IF(R7=-1," día"," días"),IF(R7=0,"Vence hoy","Vence en "&amp;R7&amp;IF(R7=1," día"," días"))))))</f>
        <v>Venció hace 106 días</v>
      </c>
      <c r="U7" s="57" t="str">
        <f aca="false">IF(L7&lt;&gt;"Sí","",IF(M7="","Sin fecha registrada",IF(M7&lt;=H7,"A tiempo","Con "&amp;(M7-H7)&amp;" días de retraso")))</f>
        <v/>
      </c>
      <c r="V7" s="57" t="n">
        <v>180</v>
      </c>
      <c r="W7" s="60" t="n">
        <f aca="false">Inicio+V7</f>
        <v>46126</v>
      </c>
      <c r="X7" s="64" t="n">
        <f aca="false">F7-V7</f>
        <v>77</v>
      </c>
      <c r="Y7" s="57" t="s">
        <v>112</v>
      </c>
      <c r="Z7" s="57" t="s">
        <v>113</v>
      </c>
      <c r="AA7" s="65" t="b">
        <f aca="false">OR(FiltroEstado="Todos",S7=FiltroEstado)</f>
        <v>1</v>
      </c>
      <c r="AB7" s="66" t="n">
        <f aca="false">IF(AA7,COUNTIF($AA$5:AA7,TRUE()),"")</f>
        <v>3</v>
      </c>
      <c r="AC7" s="66" t="n">
        <f aca="false">ROW()-4</f>
        <v>3</v>
      </c>
      <c r="AD7" s="66" t="str">
        <f aca="false">IF($S7=AD$4,COUNTIF($S$5:$S7,AD$4),"")</f>
        <v/>
      </c>
      <c r="AE7" s="66" t="str">
        <f aca="false">IF($S7=AE$4,COUNTIF($S$5:$S7,AE$4),"")</f>
        <v/>
      </c>
      <c r="AF7" s="66" t="n">
        <f aca="false">IF($S7=AF$4,COUNTIF($S$5:$S7,AF$4),"")</f>
        <v>2</v>
      </c>
      <c r="AG7" s="66" t="str">
        <f aca="false">IF($S7=AG$4,COUNTIF($S$5:$S7,AG$4),"")</f>
        <v/>
      </c>
      <c r="AH7" s="66" t="str">
        <f aca="false">IF($S7=AH$4,COUNTIF($S$5:$S7,AH$4),"")</f>
        <v/>
      </c>
      <c r="AI7" s="66" t="str">
        <f aca="false">IF($S7=AI$4,COUNTIF($S$5:$S7,AI$4),"")</f>
        <v/>
      </c>
      <c r="AJ7" s="67"/>
    </row>
    <row r="8" customFormat="false" ht="63.75" hidden="false" customHeight="true" outlineLevel="0" collapsed="false">
      <c r="A8" s="57" t="s">
        <v>114</v>
      </c>
      <c r="B8" s="57" t="s">
        <v>15</v>
      </c>
      <c r="C8" s="57"/>
      <c r="D8" s="58" t="str">
        <f aca="false">B8&amp;IF(C8="",""," · "&amp;C8)</f>
        <v>Producto 3</v>
      </c>
      <c r="E8" s="57" t="s">
        <v>115</v>
      </c>
      <c r="F8" s="59" t="n">
        <v>428</v>
      </c>
      <c r="G8" s="60" t="n">
        <f aca="false">H7+1</f>
        <v>46204</v>
      </c>
      <c r="H8" s="60" t="n">
        <f aca="false">Inicio+F8</f>
        <v>46374</v>
      </c>
      <c r="I8" s="57" t="n">
        <f aca="false">F7+1</f>
        <v>258</v>
      </c>
      <c r="J8" s="61" t="n">
        <v>0.2</v>
      </c>
      <c r="K8" s="57" t="s">
        <v>116</v>
      </c>
      <c r="L8" s="59" t="s">
        <v>106</v>
      </c>
      <c r="M8" s="62"/>
      <c r="N8" s="59"/>
      <c r="O8" s="62"/>
      <c r="P8" s="60" t="str">
        <f aca="false">IF(O8="","",O8+DiasSubsanar)</f>
        <v/>
      </c>
      <c r="Q8" s="62"/>
      <c r="R8" s="63" t="n">
        <f aca="false">H8-FechaRef</f>
        <v>65</v>
      </c>
      <c r="S8" s="57" t="str">
        <f aca="false">IF(L8="Sí",IF(N8="Conforme","Aprobado",IF(N8="Observado","Observado","En revisión")),IF(R8&lt;0,"Vencido",IF(R8&lt;=DiasAviso,"Por vencer","Por entregar")))</f>
        <v>Por entregar</v>
      </c>
      <c r="T8" s="57" t="str">
        <f aca="false">IF(S8="Aprobado","Conforme"&amp;IF(Q8&lt;&gt;""," desde el "&amp;RIGHT("0"&amp;DAY(Q8),2)&amp;"/"&amp;RIGHT("0"&amp;MONTH(Q8),2)&amp;"/"&amp;YEAR(Q8),""),IF(S8="Observado",IF(P8="","Observado: registra la fecha de observación",IF(P8&gt;=FechaRef,"Subsanar hasta el "&amp;RIGHT("0"&amp;DAY(P8),2)&amp;"/"&amp;RIGHT("0"&amp;MONTH(P8),2)&amp;"/"&amp;YEAR(P8)&amp;" (faltan "&amp;(P8-FechaRef)&amp;" días)","Plazo para subsanar vencido el "&amp;RIGHT("0"&amp;DAY(P8),2)&amp;"/"&amp;RIGHT("0"&amp;MONTH(P8),2)&amp;"/"&amp;YEAR(P8))),IF(S8="En revisión",IF(M8&lt;&gt;"","Presentado el "&amp;RIGHT("0"&amp;DAY(M8),2)&amp;"/"&amp;RIGHT("0"&amp;MONTH(M8),2)&amp;"/"&amp;YEAR(M8)&amp;"; espera conformidad UGP/FAO","Entregado; espera conformidad UGP/FAO"),IF(R8&lt;0,"Venció hace "&amp;-R8&amp;IF(R8=-1," día"," días"),IF(R8=0,"Vence hoy","Vence en "&amp;R8&amp;IF(R8=1," día"," días"))))))</f>
        <v>Vence en 65 días</v>
      </c>
      <c r="U8" s="57" t="str">
        <f aca="false">IF(L8&lt;&gt;"Sí","",IF(M8="","Sin fecha registrada",IF(M8&lt;=H8,"A tiempo","Con "&amp;(M8-H8)&amp;" días de retraso")))</f>
        <v/>
      </c>
      <c r="V8" s="57" t="n">
        <v>360</v>
      </c>
      <c r="W8" s="60" t="n">
        <f aca="false">Inicio+V8</f>
        <v>46306</v>
      </c>
      <c r="X8" s="64" t="n">
        <f aca="false">F8-V8</f>
        <v>68</v>
      </c>
      <c r="Y8" s="57" t="s">
        <v>117</v>
      </c>
      <c r="Z8" s="57" t="s">
        <v>118</v>
      </c>
      <c r="AA8" s="65" t="b">
        <f aca="false">OR(FiltroEstado="Todos",S8=FiltroEstado)</f>
        <v>1</v>
      </c>
      <c r="AB8" s="66" t="n">
        <f aca="false">IF(AA8,COUNTIF($AA$5:AA8,TRUE()),"")</f>
        <v>4</v>
      </c>
      <c r="AC8" s="66" t="n">
        <f aca="false">ROW()-4</f>
        <v>4</v>
      </c>
      <c r="AD8" s="66" t="n">
        <f aca="false">IF($S8=AD$4,COUNTIF($S$5:$S8,AD$4),"")</f>
        <v>1</v>
      </c>
      <c r="AE8" s="66" t="str">
        <f aca="false">IF($S8=AE$4,COUNTIF($S$5:$S8,AE$4),"")</f>
        <v/>
      </c>
      <c r="AF8" s="66" t="str">
        <f aca="false">IF($S8=AF$4,COUNTIF($S$5:$S8,AF$4),"")</f>
        <v/>
      </c>
      <c r="AG8" s="66" t="str">
        <f aca="false">IF($S8=AG$4,COUNTIF($S$5:$S8,AG$4),"")</f>
        <v/>
      </c>
      <c r="AH8" s="66" t="str">
        <f aca="false">IF($S8=AH$4,COUNTIF($S$5:$S8,AH$4),"")</f>
        <v/>
      </c>
      <c r="AI8" s="66" t="str">
        <f aca="false">IF($S8=AI$4,COUNTIF($S$5:$S8,AI$4),"")</f>
        <v/>
      </c>
      <c r="AJ8" s="67"/>
    </row>
    <row r="9" customFormat="false" ht="96" hidden="false" customHeight="true" outlineLevel="0" collapsed="false">
      <c r="A9" s="57" t="s">
        <v>119</v>
      </c>
      <c r="B9" s="57" t="s">
        <v>120</v>
      </c>
      <c r="C9" s="57"/>
      <c r="D9" s="58" t="str">
        <f aca="false">B9&amp;IF(C9="",""," · "&amp;C9)</f>
        <v>Producto 4</v>
      </c>
      <c r="E9" s="57" t="s">
        <v>121</v>
      </c>
      <c r="F9" s="59" t="n">
        <v>561</v>
      </c>
      <c r="G9" s="60" t="n">
        <f aca="false">H8+1</f>
        <v>46375</v>
      </c>
      <c r="H9" s="60" t="n">
        <f aca="false">Inicio+F9</f>
        <v>46507</v>
      </c>
      <c r="I9" s="57" t="n">
        <f aca="false">F8+1</f>
        <v>429</v>
      </c>
      <c r="J9" s="61" t="n">
        <v>0.15</v>
      </c>
      <c r="K9" s="57" t="s">
        <v>122</v>
      </c>
      <c r="L9" s="59" t="s">
        <v>106</v>
      </c>
      <c r="M9" s="62"/>
      <c r="N9" s="59"/>
      <c r="O9" s="62"/>
      <c r="P9" s="60" t="str">
        <f aca="false">IF(O9="","",O9+DiasSubsanar)</f>
        <v/>
      </c>
      <c r="Q9" s="62"/>
      <c r="R9" s="63" t="n">
        <f aca="false">H9-FechaRef</f>
        <v>198</v>
      </c>
      <c r="S9" s="57" t="str">
        <f aca="false">IF(L9="Sí",IF(N9="Conforme","Aprobado",IF(N9="Observado","Observado","En revisión")),IF(R9&lt;0,"Vencido",IF(R9&lt;=DiasAviso,"Por vencer","Por entregar")))</f>
        <v>Por entregar</v>
      </c>
      <c r="T9" s="57" t="str">
        <f aca="false">IF(S9="Aprobado","Conforme"&amp;IF(Q9&lt;&gt;""," desde el "&amp;RIGHT("0"&amp;DAY(Q9),2)&amp;"/"&amp;RIGHT("0"&amp;MONTH(Q9),2)&amp;"/"&amp;YEAR(Q9),""),IF(S9="Observado",IF(P9="","Observado: registra la fecha de observación",IF(P9&gt;=FechaRef,"Subsanar hasta el "&amp;RIGHT("0"&amp;DAY(P9),2)&amp;"/"&amp;RIGHT("0"&amp;MONTH(P9),2)&amp;"/"&amp;YEAR(P9)&amp;" (faltan "&amp;(P9-FechaRef)&amp;" días)","Plazo para subsanar vencido el "&amp;RIGHT("0"&amp;DAY(P9),2)&amp;"/"&amp;RIGHT("0"&amp;MONTH(P9),2)&amp;"/"&amp;YEAR(P9))),IF(S9="En revisión",IF(M9&lt;&gt;"","Presentado el "&amp;RIGHT("0"&amp;DAY(M9),2)&amp;"/"&amp;RIGHT("0"&amp;MONTH(M9),2)&amp;"/"&amp;YEAR(M9)&amp;"; espera conformidad UGP/FAO","Entregado; espera conformidad UGP/FAO"),IF(R9&lt;0,"Venció hace "&amp;-R9&amp;IF(R9=-1," día"," días"),IF(R9=0,"Vence hoy","Vence en "&amp;R9&amp;IF(R9=1," día"," días"))))))</f>
        <v>Vence en 198 días</v>
      </c>
      <c r="U9" s="57" t="str">
        <f aca="false">IF(L9&lt;&gt;"Sí","",IF(M9="","Sin fecha registrada",IF(M9&lt;=H9,"A tiempo","Con "&amp;(M9-H9)&amp;" días de retraso")))</f>
        <v/>
      </c>
      <c r="V9" s="57" t="n">
        <v>540</v>
      </c>
      <c r="W9" s="60" t="n">
        <f aca="false">Inicio+V9</f>
        <v>46486</v>
      </c>
      <c r="X9" s="64" t="n">
        <f aca="false">F9-V9</f>
        <v>21</v>
      </c>
      <c r="Y9" s="57" t="s">
        <v>123</v>
      </c>
      <c r="Z9" s="57" t="s">
        <v>124</v>
      </c>
      <c r="AA9" s="65" t="b">
        <f aca="false">OR(FiltroEstado="Todos",S9=FiltroEstado)</f>
        <v>1</v>
      </c>
      <c r="AB9" s="66" t="n">
        <f aca="false">IF(AA9,COUNTIF($AA$5:AA9,TRUE()),"")</f>
        <v>5</v>
      </c>
      <c r="AC9" s="66" t="n">
        <f aca="false">ROW()-4</f>
        <v>5</v>
      </c>
      <c r="AD9" s="66" t="n">
        <f aca="false">IF($S9=AD$4,COUNTIF($S$5:$S9,AD$4),"")</f>
        <v>2</v>
      </c>
      <c r="AE9" s="66" t="str">
        <f aca="false">IF($S9=AE$4,COUNTIF($S$5:$S9,AE$4),"")</f>
        <v/>
      </c>
      <c r="AF9" s="66" t="str">
        <f aca="false">IF($S9=AF$4,COUNTIF($S$5:$S9,AF$4),"")</f>
        <v/>
      </c>
      <c r="AG9" s="66" t="str">
        <f aca="false">IF($S9=AG$4,COUNTIF($S$5:$S9,AG$4),"")</f>
        <v/>
      </c>
      <c r="AH9" s="66" t="str">
        <f aca="false">IF($S9=AH$4,COUNTIF($S$5:$S9,AH$4),"")</f>
        <v/>
      </c>
      <c r="AI9" s="66" t="str">
        <f aca="false">IF($S9=AI$4,COUNTIF($S$5:$S9,AI$4),"")</f>
        <v/>
      </c>
      <c r="AJ9" s="67"/>
    </row>
    <row r="10" customFormat="false" ht="15" hidden="false" customHeight="false" outlineLevel="0" collapsed="false">
      <c r="E10" s="68" t="s">
        <v>47</v>
      </c>
      <c r="J10" s="69" t="n">
        <f aca="false">SUM(J5:J9)</f>
        <v>1</v>
      </c>
      <c r="L10" s="68" t="str">
        <f aca="false">COUNTIF(L5:L9,"Sí")&amp;" de "&amp;ROWS(L5:L9)</f>
        <v>1 de 5</v>
      </c>
    </row>
    <row r="12" customFormat="false" ht="15" hidden="false" customHeight="false" outlineLevel="0" collapsed="false">
      <c r="A12" s="70" t="s">
        <v>125</v>
      </c>
    </row>
    <row r="13" customFormat="false" ht="15" hidden="false" customHeight="false" outlineLevel="0" collapsed="false">
      <c r="A13" s="70" t="s">
        <v>126</v>
      </c>
    </row>
    <row r="14" customFormat="false" ht="15" hidden="false" customHeight="false" outlineLevel="0" collapsed="false">
      <c r="A14" s="70" t="s">
        <v>127</v>
      </c>
    </row>
    <row r="15" customFormat="false" ht="15" hidden="false" customHeight="false" outlineLevel="0" collapsed="false">
      <c r="A15" s="70" t="s">
        <v>128</v>
      </c>
    </row>
  </sheetData>
  <autoFilter ref="A4:Z9"/>
  <conditionalFormatting sqref="S5:S9">
    <cfRule type="expression" priority="2" aboveAverage="0" equalAverage="0" bottom="0" percent="0" rank="0" text="" dxfId="4">
      <formula>S5="Por entregar"</formula>
    </cfRule>
    <cfRule type="expression" priority="3" aboveAverage="0" equalAverage="0" bottom="0" percent="0" rank="0" text="" dxfId="1">
      <formula>S5="Por vencer"</formula>
    </cfRule>
    <cfRule type="expression" priority="4" aboveAverage="0" equalAverage="0" bottom="0" percent="0" rank="0" text="" dxfId="0">
      <formula>S5="Vencido"</formula>
    </cfRule>
    <cfRule type="expression" priority="5" aboveAverage="0" equalAverage="0" bottom="0" percent="0" rank="0" text="" dxfId="5">
      <formula>S5="En revisión"</formula>
    </cfRule>
    <cfRule type="expression" priority="6" aboveAverage="0" equalAverage="0" bottom="0" percent="0" rank="0" text="" dxfId="6">
      <formula>S5="Observado"</formula>
    </cfRule>
    <cfRule type="expression" priority="7" aboveAverage="0" equalAverage="0" bottom="0" percent="0" rank="0" text="" dxfId="2">
      <formula>S5="Aprobado"</formula>
    </cfRule>
  </conditionalFormatting>
  <conditionalFormatting sqref="R5:R9">
    <cfRule type="expression" priority="8" aboveAverage="0" equalAverage="0" bottom="0" percent="0" rank="0" text="" dxfId="7">
      <formula>AND(R5&lt;0,L5&lt;&gt;"Sí")</formula>
    </cfRule>
  </conditionalFormatting>
  <conditionalFormatting sqref="U5:U9">
    <cfRule type="expression" priority="9" aboveAverage="0" equalAverage="0" bottom="0" percent="0" rank="0" text="" dxfId="7">
      <formula>LEFT(U5,3)="Con"</formula>
    </cfRule>
    <cfRule type="expression" priority="10" aboveAverage="0" equalAverage="0" bottom="0" percent="0" rank="0" text="" dxfId="9">
      <formula>U5="A tiempo"</formula>
    </cfRule>
  </conditionalFormatting>
  <dataValidations count="3">
    <dataValidation allowBlank="true" error="Elige Sí o No." errorStyle="stop" operator="between" showDropDown="false" showErrorMessage="true" showInputMessage="false" sqref="L5:L9" type="list">
      <formula1>Parámetros!$H$5:$H$6</formula1>
      <formula2>0</formula2>
    </dataValidation>
    <dataValidation allowBlank="true" error="Elige En revisión, Observado o Conforme." errorStyle="stop" operator="between" showDropDown="false" showErrorMessage="true" showInputMessage="false" sqref="N5:N9" type="list">
      <formula1>Parámetros!$N$5:$N$7</formula1>
      <formula2>0</formula2>
    </dataValidation>
    <dataValidation allowBlank="true" error="Ingresa una fecha válida (dd/mm/aaaa)." errorStyle="stop" operator="greaterThan" showDropDown="false" showErrorMessage="true" showInputMessage="false" sqref="M5:M9 O5:O9 Q5:Q9" type="date">
      <formula1>40000</formula1>
      <formula2>0</formula2>
    </dataValidation>
  </dataValidations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3E"/>
    <pageSetUpPr fitToPage="true"/>
  </sheetPr>
  <dimension ref="A1:A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46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18" min="18" style="0" width="9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46"/>
    <col collapsed="false" customWidth="true" hidden="false" outlineLevel="0" max="26" min="22" style="0" width="13"/>
    <col collapsed="false" customWidth="true" hidden="false" outlineLevel="0" max="27" min="27" style="0" width="50"/>
    <col collapsed="false" customWidth="true" hidden="false" outlineLevel="0" max="33" min="28" style="0" width="8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129</v>
      </c>
    </row>
    <row r="3" customFormat="false" ht="15" hidden="false" customHeight="false" outlineLevel="0" collapsed="false">
      <c r="B3" s="55" t="s">
        <v>130</v>
      </c>
      <c r="O3" s="56" t="s">
        <v>131</v>
      </c>
    </row>
    <row r="4" customFormat="false" ht="42" hidden="false" customHeight="true" outlineLevel="0" collapsed="false">
      <c r="A4" s="36" t="s">
        <v>132</v>
      </c>
      <c r="B4" s="36" t="s">
        <v>133</v>
      </c>
      <c r="C4" s="36" t="s">
        <v>134</v>
      </c>
      <c r="D4" s="36" t="s">
        <v>135</v>
      </c>
      <c r="E4" s="36" t="s">
        <v>136</v>
      </c>
      <c r="F4" s="36" t="s">
        <v>137</v>
      </c>
      <c r="G4" s="36" t="s">
        <v>138</v>
      </c>
      <c r="H4" s="36" t="s">
        <v>139</v>
      </c>
      <c r="I4" s="36" t="s">
        <v>140</v>
      </c>
      <c r="J4" s="36" t="s">
        <v>141</v>
      </c>
      <c r="K4" s="36" t="s">
        <v>142</v>
      </c>
      <c r="L4" s="36" t="s">
        <v>143</v>
      </c>
      <c r="M4" s="36" t="s">
        <v>144</v>
      </c>
      <c r="N4" s="36" t="s">
        <v>145</v>
      </c>
      <c r="O4" s="36" t="s">
        <v>146</v>
      </c>
      <c r="P4" s="36" t="s">
        <v>147</v>
      </c>
      <c r="Q4" s="36" t="s">
        <v>148</v>
      </c>
      <c r="R4" s="36" t="s">
        <v>149</v>
      </c>
      <c r="S4" s="36" t="s">
        <v>150</v>
      </c>
      <c r="T4" s="36" t="s">
        <v>36</v>
      </c>
      <c r="U4" s="36" t="s">
        <v>45</v>
      </c>
      <c r="V4" s="36" t="s">
        <v>151</v>
      </c>
      <c r="W4" s="36" t="s">
        <v>152</v>
      </c>
      <c r="X4" s="36" t="s">
        <v>153</v>
      </c>
      <c r="Y4" s="36" t="s">
        <v>154</v>
      </c>
      <c r="Z4" s="36" t="s">
        <v>155</v>
      </c>
      <c r="AA4" s="36" t="s">
        <v>156</v>
      </c>
      <c r="AB4" s="36" t="s">
        <v>14</v>
      </c>
      <c r="AC4" s="36" t="s">
        <v>157</v>
      </c>
      <c r="AD4" s="36" t="s">
        <v>158</v>
      </c>
      <c r="AE4" s="36" t="s">
        <v>159</v>
      </c>
      <c r="AF4" s="36" t="s">
        <v>160</v>
      </c>
      <c r="AG4" s="36" t="s">
        <v>161</v>
      </c>
    </row>
    <row r="5" customFormat="false" ht="69.75" hidden="false" customHeight="true" outlineLevel="0" collapsed="false">
      <c r="A5" s="58" t="s">
        <v>97</v>
      </c>
      <c r="B5" s="71" t="n">
        <v>141375</v>
      </c>
      <c r="C5" s="72" t="n">
        <f aca="false">B5/TotalCARE</f>
        <v>0.3</v>
      </c>
      <c r="D5" s="61" t="n">
        <v>0.3</v>
      </c>
      <c r="E5" s="59" t="n">
        <v>15</v>
      </c>
      <c r="F5" s="60" t="n">
        <f aca="false">IF(E5="","Al presentar P4",Inicio+E5)</f>
        <v>45961</v>
      </c>
      <c r="G5" s="57" t="s">
        <v>95</v>
      </c>
      <c r="H5" s="57" t="s">
        <v>94</v>
      </c>
      <c r="I5" s="60" t="n">
        <f aca="false">INDEX(Entregables!$H$5:$H$9,MATCH(H5,Entregables!$A$5:$A$9,0))</f>
        <v>46011</v>
      </c>
      <c r="J5" s="73" t="n">
        <f aca="false">IF(E5="",0,I5-F5)</f>
        <v>50</v>
      </c>
      <c r="K5" s="57" t="str">
        <f aca="false">IF(Entregables!L5="Sí","Sí","No")</f>
        <v>Sí</v>
      </c>
      <c r="L5" s="57" t="str">
        <f aca="false">IF(Entregables!S5="Aprobado","Sí","No")</f>
        <v>No</v>
      </c>
      <c r="M5" s="57" t="str">
        <f aca="false">"No hay rendición previa: es el primer pago."</f>
        <v>No hay rendición previa: es el primer pago.</v>
      </c>
      <c r="N5" s="57" t="str">
        <f aca="false">"Sí"</f>
        <v>Sí</v>
      </c>
      <c r="O5" s="59" t="s">
        <v>106</v>
      </c>
      <c r="P5" s="62"/>
      <c r="Q5" s="71" t="n">
        <v>0</v>
      </c>
      <c r="R5" s="72" t="str">
        <f aca="false">IF(O5="Sí",Q5/B5,"")</f>
        <v/>
      </c>
      <c r="S5" s="74" t="n">
        <f aca="false">IF(O5="Sí",MAX(0,B5-Q5),0)</f>
        <v>0</v>
      </c>
      <c r="T5" s="57" t="str">
        <f aca="false">IF(O5="Sí","Desembolsado",IF(K5="No","Pendiente de producto",IF(L5="No","En conformidad",IF(N5="Sí","Listo para solicitar","Falta rendición"))))</f>
        <v>En conformidad</v>
      </c>
      <c r="U5" s="57" t="str">
        <f aca="false">IF(T5="Desembolsado","Pagado"&amp;IF(P5&lt;&gt;""," el "&amp;RIGHT("0"&amp;DAY(P5),2)&amp;"/"&amp;RIGHT("0"&amp;MONTH(P5),2)&amp;"/"&amp;YEAR(P5),"")&amp;IF(S5&gt;0,". Por rendir: S/ "&amp;FIXED(S5,2),". Rendido al 100 %."),IF(T5="Pendiente de producto","Presentar "&amp;G5&amp;" (vence el "&amp;RIGHT("0"&amp;DAY(I5),2)&amp;"/"&amp;RIGHT("0"&amp;MONTH(I5),2)&amp;"/"&amp;YEAR(I5)&amp;")",IF(T5="En conformidad","Conseguir la opinión técnica del Componente 2 y las conformidades del Coordinador y de FAO",IF(T5="Falta rendición",M5,"La UGP debe pedir el desembolso por escrito a Profonanpe (cl. 9.3)"))))</f>
        <v>Conseguir la opinión técnica del Componente 2 y las conformidades del Coordinador y de FAO</v>
      </c>
      <c r="V5" s="74" t="n">
        <f aca="false">IF($T5="Desembolsado",$B5,0)</f>
        <v>0</v>
      </c>
      <c r="W5" s="74" t="n">
        <f aca="false">IF($T5="Listo para solicitar",$B5,0)</f>
        <v>0</v>
      </c>
      <c r="X5" s="74" t="n">
        <f aca="false">IF($T5="Falta rendición",$B5,0)</f>
        <v>0</v>
      </c>
      <c r="Y5" s="74" t="n">
        <f aca="false">IF($T5="En conformidad",$B5,0)</f>
        <v>141375</v>
      </c>
      <c r="Z5" s="74" t="n">
        <f aca="false">IF($T5="Pendiente de producto",$B5,0)</f>
        <v>0</v>
      </c>
      <c r="AA5" s="57" t="s">
        <v>162</v>
      </c>
      <c r="AB5" s="66" t="n">
        <f aca="false">ROW()-4</f>
        <v>1</v>
      </c>
      <c r="AC5" s="66" t="str">
        <f aca="false">IF($T5=AC$4,COUNTIF($T$5:$T5,AC$4),"")</f>
        <v/>
      </c>
      <c r="AD5" s="66" t="str">
        <f aca="false">IF($T5=AD$4,COUNTIF($T$5:$T5,AD$4),"")</f>
        <v/>
      </c>
      <c r="AE5" s="66" t="str">
        <f aca="false">IF($T5=AE$4,COUNTIF($T$5:$T5,AE$4),"")</f>
        <v/>
      </c>
      <c r="AF5" s="66" t="n">
        <f aca="false">IF($T5=AF$4,COUNTIF($T$5:$T5,AF$4),"")</f>
        <v>1</v>
      </c>
      <c r="AG5" s="66" t="str">
        <f aca="false">IF($T5=AG$4,COUNTIF($T$5:$T5,AG$4),"")</f>
        <v/>
      </c>
    </row>
    <row r="6" customFormat="false" ht="69.75" hidden="false" customHeight="true" outlineLevel="0" collapsed="false">
      <c r="A6" s="58" t="s">
        <v>105</v>
      </c>
      <c r="B6" s="71" t="n">
        <v>141375</v>
      </c>
      <c r="C6" s="72" t="n">
        <f aca="false">B6/TotalCARE</f>
        <v>0.3</v>
      </c>
      <c r="D6" s="61" t="n">
        <v>0.3</v>
      </c>
      <c r="E6" s="59" t="n">
        <v>120</v>
      </c>
      <c r="F6" s="60" t="n">
        <f aca="false">IF(E6="","Al presentar P4",Inicio+E6)</f>
        <v>46066</v>
      </c>
      <c r="G6" s="57" t="s">
        <v>163</v>
      </c>
      <c r="H6" s="57" t="s">
        <v>109</v>
      </c>
      <c r="I6" s="60" t="n">
        <f aca="false">INDEX(Entregables!$H$5:$H$9,MATCH(H6,Entregables!$A$5:$A$9,0))</f>
        <v>46203</v>
      </c>
      <c r="J6" s="73" t="n">
        <f aca="false">IF(E6="",0,I6-F6)</f>
        <v>137</v>
      </c>
      <c r="K6" s="57" t="str">
        <f aca="false">IF(AND(Entregables!L6="Sí",Entregables!L7="Sí"),"Sí","No")</f>
        <v>No</v>
      </c>
      <c r="L6" s="57" t="str">
        <f aca="false">IF(AND(Entregables!S6="Aprobado",Entregables!S7="Aprobado"),"Sí","No")</f>
        <v>No</v>
      </c>
      <c r="M6" s="57" t="str">
        <f aca="false">"Rendir al menos el "&amp;TEXT(Rendicion*100,"0")&amp;" % del 1.er desembolso: S/ "&amp;FIXED(B5*Rendicion,2)&amp;". Informe de recursos financiados."</f>
        <v>Rendir al menos el 70 % del 1.er desembolso: S/ 98,962.50. Informe de recursos financiados.</v>
      </c>
      <c r="N6" s="57" t="str">
        <f aca="false">IF(Q5&gt;=B5*Rendicion-0.005,"Sí","No")</f>
        <v>No</v>
      </c>
      <c r="O6" s="59" t="s">
        <v>106</v>
      </c>
      <c r="P6" s="62"/>
      <c r="Q6" s="71" t="n">
        <v>0</v>
      </c>
      <c r="R6" s="72" t="str">
        <f aca="false">IF(O6="Sí",Q6/B6,"")</f>
        <v/>
      </c>
      <c r="S6" s="74" t="n">
        <f aca="false">IF(O6="Sí",MAX(0,B6-Q6),0)</f>
        <v>0</v>
      </c>
      <c r="T6" s="57" t="str">
        <f aca="false">IF(O6="Sí","Desembolsado",IF(K6="No","Pendiente de producto",IF(L6="No","En conformidad",IF(N6="Sí","Listo para solicitar","Falta rendición"))))</f>
        <v>Pendiente de producto</v>
      </c>
      <c r="U6" s="57" t="str">
        <f aca="false">IF(T6="Desembolsado","Pagado"&amp;IF(P6&lt;&gt;""," el "&amp;RIGHT("0"&amp;DAY(P6),2)&amp;"/"&amp;RIGHT("0"&amp;MONTH(P6),2)&amp;"/"&amp;YEAR(P6),"")&amp;IF(S6&gt;0,". Por rendir: S/ "&amp;FIXED(S6,2),". Rendido al 100 %."),IF(T6="Pendiente de producto","Presentar "&amp;G6&amp;" (vence el "&amp;RIGHT("0"&amp;DAY(I6),2)&amp;"/"&amp;RIGHT("0"&amp;MONTH(I6),2)&amp;"/"&amp;YEAR(I6)&amp;")",IF(T6="En conformidad","Conseguir la opinión técnica del Componente 2 y las conformidades del Coordinador y de FAO",IF(T6="Falta rendición",M6,"La UGP debe pedir el desembolso por escrito a Profonanpe (cl. 9.3)"))))</f>
        <v>Presentar Producto 2 (Parte I y Parte II) (vence el 30/06/2026)</v>
      </c>
      <c r="V6" s="74" t="n">
        <f aca="false">IF($T6="Desembolsado",$B6,0)</f>
        <v>0</v>
      </c>
      <c r="W6" s="74" t="n">
        <f aca="false">IF($T6="Listo para solicitar",$B6,0)</f>
        <v>0</v>
      </c>
      <c r="X6" s="74" t="n">
        <f aca="false">IF($T6="Falta rendición",$B6,0)</f>
        <v>0</v>
      </c>
      <c r="Y6" s="74" t="n">
        <f aca="false">IF($T6="En conformidad",$B6,0)</f>
        <v>0</v>
      </c>
      <c r="Z6" s="74" t="n">
        <f aca="false">IF($T6="Pendiente de producto",$B6,0)</f>
        <v>141375</v>
      </c>
      <c r="AA6" s="57" t="s">
        <v>164</v>
      </c>
      <c r="AB6" s="66" t="n">
        <f aca="false">ROW()-4</f>
        <v>2</v>
      </c>
      <c r="AC6" s="66" t="str">
        <f aca="false">IF($T6=AC$4,COUNTIF($T$5:$T6,AC$4),"")</f>
        <v/>
      </c>
      <c r="AD6" s="66" t="str">
        <f aca="false">IF($T6=AD$4,COUNTIF($T$5:$T6,AD$4),"")</f>
        <v/>
      </c>
      <c r="AE6" s="66" t="str">
        <f aca="false">IF($T6=AE$4,COUNTIF($T$5:$T6,AE$4),"")</f>
        <v/>
      </c>
      <c r="AF6" s="66" t="str">
        <f aca="false">IF($T6=AF$4,COUNTIF($T$5:$T6,AF$4),"")</f>
        <v/>
      </c>
      <c r="AG6" s="66" t="n">
        <f aca="false">IF($T6=AG$4,COUNTIF($T$5:$T6,AG$4),"")</f>
        <v>1</v>
      </c>
    </row>
    <row r="7" customFormat="false" ht="69.75" hidden="false" customHeight="true" outlineLevel="0" collapsed="false">
      <c r="A7" s="58" t="s">
        <v>116</v>
      </c>
      <c r="B7" s="71" t="n">
        <v>117812</v>
      </c>
      <c r="C7" s="72" t="n">
        <f aca="false">B7/TotalCARE</f>
        <v>0.249998938992042</v>
      </c>
      <c r="D7" s="61" t="n">
        <v>0.25</v>
      </c>
      <c r="E7" s="59" t="n">
        <v>240</v>
      </c>
      <c r="F7" s="60" t="n">
        <f aca="false">IF(E7="","Al presentar P4",Inicio+E7)</f>
        <v>46186</v>
      </c>
      <c r="G7" s="57" t="s">
        <v>15</v>
      </c>
      <c r="H7" s="57" t="s">
        <v>114</v>
      </c>
      <c r="I7" s="60" t="n">
        <f aca="false">INDEX(Entregables!$H$5:$H$9,MATCH(H7,Entregables!$A$5:$A$9,0))</f>
        <v>46374</v>
      </c>
      <c r="J7" s="73" t="n">
        <f aca="false">IF(E7="",0,I7-F7)</f>
        <v>188</v>
      </c>
      <c r="K7" s="57" t="str">
        <f aca="false">IF(Entregables!L8="Sí","Sí","No")</f>
        <v>No</v>
      </c>
      <c r="L7" s="57" t="str">
        <f aca="false">IF(Entregables!S8="Aprobado","Sí","No")</f>
        <v>No</v>
      </c>
      <c r="M7" s="57" t="str">
        <f aca="false">"Rendir el 100 % del 1.er desembolso (S/ "&amp;FIXED(B5,2)&amp;") y al menos el "&amp;TEXT(Rendicion*100,"0")&amp;" % del 2.º (S/ "&amp;FIXED(B6*Rendicion,2)&amp;"). Informe de recursos financiados."</f>
        <v>Rendir el 100 % del 1.er desembolso (S/ 141,375.00) y al menos el 70 % del 2.º (S/ 98,962.50). Informe de recursos financiados.</v>
      </c>
      <c r="N7" s="57" t="str">
        <f aca="false">IF(AND(Q5&gt;=B5-0.005,Q6&gt;=B6*Rendicion-0.005),"Sí","No")</f>
        <v>No</v>
      </c>
      <c r="O7" s="59" t="s">
        <v>106</v>
      </c>
      <c r="P7" s="62"/>
      <c r="Q7" s="71" t="n">
        <v>0</v>
      </c>
      <c r="R7" s="72" t="str">
        <f aca="false">IF(O7="Sí",Q7/B7,"")</f>
        <v/>
      </c>
      <c r="S7" s="74" t="n">
        <f aca="false">IF(O7="Sí",MAX(0,B7-Q7),0)</f>
        <v>0</v>
      </c>
      <c r="T7" s="57" t="str">
        <f aca="false">IF(O7="Sí","Desembolsado",IF(K7="No","Pendiente de producto",IF(L7="No","En conformidad",IF(N7="Sí","Listo para solicitar","Falta rendición"))))</f>
        <v>Pendiente de producto</v>
      </c>
      <c r="U7" s="57" t="str">
        <f aca="false">IF(T7="Desembolsado","Pagado"&amp;IF(P7&lt;&gt;""," el "&amp;RIGHT("0"&amp;DAY(P7),2)&amp;"/"&amp;RIGHT("0"&amp;MONTH(P7),2)&amp;"/"&amp;YEAR(P7),"")&amp;IF(S7&gt;0,". Por rendir: S/ "&amp;FIXED(S7,2),". Rendido al 100 %."),IF(T7="Pendiente de producto","Presentar "&amp;G7&amp;" (vence el "&amp;RIGHT("0"&amp;DAY(I7),2)&amp;"/"&amp;RIGHT("0"&amp;MONTH(I7),2)&amp;"/"&amp;YEAR(I7)&amp;")",IF(T7="En conformidad","Conseguir la opinión técnica del Componente 2 y las conformidades del Coordinador y de FAO",IF(T7="Falta rendición",M7,"La UGP debe pedir el desembolso por escrito a Profonanpe (cl. 9.3)"))))</f>
        <v>Presentar Producto 3 (vence el 18/12/2026)</v>
      </c>
      <c r="V7" s="74" t="n">
        <f aca="false">IF($T7="Desembolsado",$B7,0)</f>
        <v>0</v>
      </c>
      <c r="W7" s="74" t="n">
        <f aca="false">IF($T7="Listo para solicitar",$B7,0)</f>
        <v>0</v>
      </c>
      <c r="X7" s="74" t="n">
        <f aca="false">IF($T7="Falta rendición",$B7,0)</f>
        <v>0</v>
      </c>
      <c r="Y7" s="74" t="n">
        <f aca="false">IF($T7="En conformidad",$B7,0)</f>
        <v>0</v>
      </c>
      <c r="Z7" s="74" t="n">
        <f aca="false">IF($T7="Pendiente de producto",$B7,0)</f>
        <v>117812</v>
      </c>
      <c r="AA7" s="57" t="s">
        <v>165</v>
      </c>
      <c r="AB7" s="66" t="n">
        <f aca="false">ROW()-4</f>
        <v>3</v>
      </c>
      <c r="AC7" s="66" t="str">
        <f aca="false">IF($T7=AC$4,COUNTIF($T$5:$T7,AC$4),"")</f>
        <v/>
      </c>
      <c r="AD7" s="66" t="str">
        <f aca="false">IF($T7=AD$4,COUNTIF($T$5:$T7,AD$4),"")</f>
        <v/>
      </c>
      <c r="AE7" s="66" t="str">
        <f aca="false">IF($T7=AE$4,COUNTIF($T$5:$T7,AE$4),"")</f>
        <v/>
      </c>
      <c r="AF7" s="66" t="str">
        <f aca="false">IF($T7=AF$4,COUNTIF($T$5:$T7,AF$4),"")</f>
        <v/>
      </c>
      <c r="AG7" s="66" t="n">
        <f aca="false">IF($T7=AG$4,COUNTIF($T$5:$T7,AG$4),"")</f>
        <v>2</v>
      </c>
    </row>
    <row r="8" customFormat="false" ht="69.75" hidden="false" customHeight="true" outlineLevel="0" collapsed="false">
      <c r="A8" s="58" t="s">
        <v>122</v>
      </c>
      <c r="B8" s="71" t="n">
        <v>70688</v>
      </c>
      <c r="C8" s="72" t="n">
        <f aca="false">B8/TotalCARE</f>
        <v>0.150001061007958</v>
      </c>
      <c r="D8" s="61" t="n">
        <v>0.15</v>
      </c>
      <c r="E8" s="59"/>
      <c r="F8" s="60" t="str">
        <f aca="false">IF(E8="","Al presentar P4",Inicio+E8)</f>
        <v>Al presentar P4</v>
      </c>
      <c r="G8" s="57" t="s">
        <v>120</v>
      </c>
      <c r="H8" s="57" t="s">
        <v>119</v>
      </c>
      <c r="I8" s="60" t="n">
        <f aca="false">INDEX(Entregables!$H$5:$H$9,MATCH(H8,Entregables!$A$5:$A$9,0))</f>
        <v>46507</v>
      </c>
      <c r="J8" s="73" t="n">
        <f aca="false">IF(E8="",0,I8-F8)</f>
        <v>0</v>
      </c>
      <c r="K8" s="57" t="str">
        <f aca="false">IF(Entregables!L9="Sí","Sí","No")</f>
        <v>No</v>
      </c>
      <c r="L8" s="57" t="str">
        <f aca="false">IF(Entregables!S9="Aprobado","Sí","No")</f>
        <v>No</v>
      </c>
      <c r="M8" s="57" t="str">
        <f aca="false">"Rendir el 100 % del 2.º desembolso (S/ "&amp;FIXED(B6,2)&amp;") y al menos el "&amp;TEXT(Rendicion*100,"0")&amp;" % del 3.º (S/ "&amp;FIXED(B7*Rendicion,2)&amp;"). Informe de recursos financiados o de contrapartida."</f>
        <v>Rendir el 100 % del 2.º desembolso (S/ 141,375.00) y al menos el 70 % del 3.º (S/ 82,468.40). Informe de recursos financiados o de contrapartida.</v>
      </c>
      <c r="N8" s="57" t="str">
        <f aca="false">IF(AND(Q6&gt;=B6-0.005,Q7&gt;=B7*Rendicion-0.005),"Sí","No")</f>
        <v>No</v>
      </c>
      <c r="O8" s="59" t="s">
        <v>106</v>
      </c>
      <c r="P8" s="62"/>
      <c r="Q8" s="71" t="n">
        <v>0</v>
      </c>
      <c r="R8" s="72" t="str">
        <f aca="false">IF(O8="Sí",Q8/B8,"")</f>
        <v/>
      </c>
      <c r="S8" s="74" t="n">
        <f aca="false">IF(O8="Sí",MAX(0,B8-Q8),0)</f>
        <v>0</v>
      </c>
      <c r="T8" s="57" t="str">
        <f aca="false">IF(O8="Sí","Desembolsado",IF(K8="No","Pendiente de producto",IF(L8="No","En conformidad",IF(N8="Sí","Listo para solicitar","Falta rendición"))))</f>
        <v>Pendiente de producto</v>
      </c>
      <c r="U8" s="57" t="str">
        <f aca="false">IF(T8="Desembolsado","Pagado"&amp;IF(P8&lt;&gt;""," el "&amp;RIGHT("0"&amp;DAY(P8),2)&amp;"/"&amp;RIGHT("0"&amp;MONTH(P8),2)&amp;"/"&amp;YEAR(P8),"")&amp;IF(S8&gt;0,". Por rendir: S/ "&amp;FIXED(S8,2),". Rendido al 100 %."),IF(T8="Pendiente de producto","Presentar "&amp;G8&amp;" (vence el "&amp;RIGHT("0"&amp;DAY(I8),2)&amp;"/"&amp;RIGHT("0"&amp;MONTH(I8),2)&amp;"/"&amp;YEAR(I8)&amp;")",IF(T8="En conformidad","Conseguir la opinión técnica del Componente 2 y las conformidades del Coordinador y de FAO",IF(T8="Falta rendición",M8,"La UGP debe pedir el desembolso por escrito a Profonanpe (cl. 9.3)"))))</f>
        <v>Presentar Producto 4 (vence el 30/04/2027)</v>
      </c>
      <c r="V8" s="74" t="n">
        <f aca="false">IF($T8="Desembolsado",$B8,0)</f>
        <v>0</v>
      </c>
      <c r="W8" s="74" t="n">
        <f aca="false">IF($T8="Listo para solicitar",$B8,0)</f>
        <v>0</v>
      </c>
      <c r="X8" s="74" t="n">
        <f aca="false">IF($T8="Falta rendición",$B8,0)</f>
        <v>0</v>
      </c>
      <c r="Y8" s="74" t="n">
        <f aca="false">IF($T8="En conformidad",$B8,0)</f>
        <v>0</v>
      </c>
      <c r="Z8" s="74" t="n">
        <f aca="false">IF($T8="Pendiente de producto",$B8,0)</f>
        <v>70688</v>
      </c>
      <c r="AA8" s="57" t="s">
        <v>166</v>
      </c>
      <c r="AB8" s="66" t="n">
        <f aca="false">ROW()-4</f>
        <v>4</v>
      </c>
      <c r="AC8" s="66" t="str">
        <f aca="false">IF($T8=AC$4,COUNTIF($T$5:$T8,AC$4),"")</f>
        <v/>
      </c>
      <c r="AD8" s="66" t="str">
        <f aca="false">IF($T8=AD$4,COUNTIF($T$5:$T8,AD$4),"")</f>
        <v/>
      </c>
      <c r="AE8" s="66" t="str">
        <f aca="false">IF($T8=AE$4,COUNTIF($T$5:$T8,AE$4),"")</f>
        <v/>
      </c>
      <c r="AF8" s="66" t="str">
        <f aca="false">IF($T8=AF$4,COUNTIF($T$5:$T8,AF$4),"")</f>
        <v/>
      </c>
      <c r="AG8" s="66" t="n">
        <f aca="false">IF($T8=AG$4,COUNTIF($T$5:$T8,AG$4),"")</f>
        <v>3</v>
      </c>
    </row>
    <row r="9" customFormat="false" ht="15" hidden="false" customHeight="false" outlineLevel="0" collapsed="false">
      <c r="A9" s="68" t="s">
        <v>47</v>
      </c>
      <c r="B9" s="75" t="n">
        <f aca="false">SUM(B5:B8)</f>
        <v>471250</v>
      </c>
      <c r="C9" s="76" t="n">
        <f aca="false">SUM(C5:C8)</f>
        <v>1</v>
      </c>
      <c r="D9" s="76" t="n">
        <f aca="false">SUM(D5:D8)</f>
        <v>1</v>
      </c>
      <c r="Q9" s="75" t="n">
        <f aca="false">SUM(Q5:Q8)</f>
        <v>0</v>
      </c>
      <c r="S9" s="75" t="n">
        <f aca="false">SUM(S5:S8)</f>
        <v>0</v>
      </c>
      <c r="V9" s="75" t="n">
        <f aca="false">SUM(V5:V8)</f>
        <v>0</v>
      </c>
      <c r="W9" s="75" t="n">
        <f aca="false">SUM(W5:W8)</f>
        <v>0</v>
      </c>
      <c r="X9" s="75" t="n">
        <f aca="false">SUM(X5:X8)</f>
        <v>0</v>
      </c>
      <c r="Y9" s="75" t="n">
        <f aca="false">SUM(Y5:Y8)</f>
        <v>141375</v>
      </c>
      <c r="Z9" s="75" t="n">
        <f aca="false">SUM(Z5:Z8)</f>
        <v>329875</v>
      </c>
    </row>
    <row r="11" customFormat="false" ht="15" hidden="false" customHeight="false" outlineLevel="0" collapsed="false">
      <c r="A11" s="70" t="str">
        <f aca="false">"Aparte, la UGP compra insumos y equipos por S/ "&amp;FIXED(Parámetros!C9,2)&amp;" que no se descuentan del convenio (cl. 9.1): tope total de Profonanpe S/ "&amp;FIXED(Parámetros!C10,2)&amp;" (cl. 5.2.1)."</f>
        <v>Aparte, la UGP compra insumos y equipos por S/ 40,000.00 que no se descuentan del convenio (cl. 9.1): tope total de Profonanpe S/ 511,250.00 (cl. 5.2.1).</v>
      </c>
    </row>
    <row r="12" customFormat="false" ht="15" hidden="false" customHeight="false" outlineLevel="0" collapsed="false">
      <c r="A12" s="70" t="s">
        <v>167</v>
      </c>
    </row>
    <row r="13" customFormat="false" ht="15" hidden="false" customHeight="false" outlineLevel="0" collapsed="false">
      <c r="A13" s="70" t="s">
        <v>168</v>
      </c>
    </row>
    <row r="14" customFormat="false" ht="15" hidden="false" customHeight="false" outlineLevel="0" collapsed="false">
      <c r="A14" s="70" t="s">
        <v>169</v>
      </c>
    </row>
  </sheetData>
  <conditionalFormatting sqref="T5:T8">
    <cfRule type="expression" priority="2" aboveAverage="0" equalAverage="0" bottom="0" percent="0" rank="0" text="" dxfId="2">
      <formula>T5="Desembolsado"</formula>
    </cfRule>
    <cfRule type="expression" priority="3" aboveAverage="0" equalAverage="0" bottom="0" percent="0" rank="0" text="" dxfId="4">
      <formula>T5="Listo para solicitar"</formula>
    </cfRule>
    <cfRule type="expression" priority="4" aboveAverage="0" equalAverage="0" bottom="0" percent="0" rank="0" text="" dxfId="1">
      <formula>T5="Falta rendición"</formula>
    </cfRule>
    <cfRule type="expression" priority="5" aboveAverage="0" equalAverage="0" bottom="0" percent="0" rank="0" text="" dxfId="5">
      <formula>T5="En conformidad"</formula>
    </cfRule>
    <cfRule type="expression" priority="6" aboveAverage="0" equalAverage="0" bottom="0" percent="0" rank="0" text="" dxfId="8">
      <formula>T5="Pendiente de producto"</formula>
    </cfRule>
  </conditionalFormatting>
  <conditionalFormatting sqref="J5:J8">
    <cfRule type="cellIs" priority="7" operator="greaterThan" aboveAverage="0" equalAverage="0" bottom="0" percent="0" rank="0" text="" dxfId="7">
      <formula>0</formula>
    </cfRule>
  </conditionalFormatting>
  <conditionalFormatting sqref="K5:L8">
    <cfRule type="cellIs" priority="8" operator="equal" aboveAverage="0" equalAverage="0" bottom="0" percent="0" rank="0" text="" dxfId="9">
      <formula>"Sí"</formula>
    </cfRule>
    <cfRule type="cellIs" priority="9" operator="equal" aboveAverage="0" equalAverage="0" bottom="0" percent="0" rank="0" text="" dxfId="7">
      <formula>"No"</formula>
    </cfRule>
  </conditionalFormatting>
  <conditionalFormatting sqref="N5:N8">
    <cfRule type="cellIs" priority="10" operator="equal" aboveAverage="0" equalAverage="0" bottom="0" percent="0" rank="0" text="" dxfId="9">
      <formula>"Sí"</formula>
    </cfRule>
    <cfRule type="cellIs" priority="11" operator="equal" aboveAverage="0" equalAverage="0" bottom="0" percent="0" rank="0" text="" dxfId="7">
      <formula>"No"</formula>
    </cfRule>
  </conditionalFormatting>
  <conditionalFormatting sqref="R5:R8">
    <cfRule type="dataBar" priority="12">
      <dataBar showValue="1" minLength="10" maxLength="90">
        <cfvo type="num" val="0"/>
        <cfvo type="num" val="1"/>
        <color rgb="FF2F7D3E"/>
      </dataBar>
      <extLst>
        <ext xmlns:x14="http://schemas.microsoft.com/office/spreadsheetml/2009/9/main" uri="{B025F937-C7B1-47D3-B67F-A62EFF666E3E}">
          <x14:id>{FFC5CC31-2173-4230-B56D-B5D02AF764AE}</x14:id>
        </ext>
      </extLst>
    </cfRule>
  </conditionalFormatting>
  <dataValidations count="3">
    <dataValidation allowBlank="false" error="Elige Sí o No." errorStyle="stop" operator="between" showDropDown="false" showErrorMessage="true" showInputMessage="false" sqref="O5:O8" type="list">
      <formula1>Parámetros!$H$5:$H$6</formula1>
      <formula2>0</formula2>
    </dataValidation>
    <dataValidation allowBlank="true" error="Ingresa una fecha válida." errorStyle="stop" operator="greaterThan" showDropDown="false" showErrorMessage="true" showInputMessage="false" sqref="P5:P8" type="date">
      <formula1>40000</formula1>
      <formula2>0</formula2>
    </dataValidation>
    <dataValidation allowBlank="false" error="Ingresa un monto en soles (0 o más)." errorStyle="stop" operator="between" showDropDown="false" showErrorMessage="true" showInputMessage="false" sqref="Q5:Q8" type="decimal">
      <formula1>0</formula1>
      <formula2>1000000</formula2>
    </dataValidation>
  </dataValidations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C5CC31-2173-4230-B56D-B5D02AF764A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F7D3E"/>
              <x14:axisColor rgb="FF000000"/>
            </x14:dataBar>
          </x14:cfRule>
          <xm:sqref>R5:R8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99"/>
    <pageSetUpPr fitToPage="true"/>
  </sheetPr>
  <dimension ref="B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11" min="9" style="0" width="15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170</v>
      </c>
    </row>
    <row r="3" customFormat="false" ht="15" hidden="false" customHeight="false" outlineLevel="0" collapsed="false">
      <c r="B3" s="55" t="s">
        <v>171</v>
      </c>
    </row>
    <row r="4" customFormat="false" ht="15" hidden="false" customHeight="false" outlineLevel="0" collapsed="false">
      <c r="B4" s="77" t="s">
        <v>172</v>
      </c>
    </row>
    <row r="5" customFormat="false" ht="30" hidden="false" customHeight="true" outlineLevel="0" collapsed="false">
      <c r="B5" s="78" t="s">
        <v>173</v>
      </c>
      <c r="C5" s="79" t="s">
        <v>14</v>
      </c>
      <c r="D5" s="80" t="s">
        <v>88</v>
      </c>
      <c r="E5" s="81" t="s">
        <v>89</v>
      </c>
      <c r="F5" s="82" t="s">
        <v>90</v>
      </c>
      <c r="G5" s="83" t="s">
        <v>91</v>
      </c>
      <c r="H5" s="84" t="s">
        <v>92</v>
      </c>
      <c r="I5" s="85" t="s">
        <v>93</v>
      </c>
    </row>
    <row r="7" customFormat="false" ht="30" hidden="false" customHeight="true" outlineLevel="0" collapsed="false">
      <c r="B7" s="78" t="s">
        <v>174</v>
      </c>
      <c r="C7" s="79" t="s">
        <v>14</v>
      </c>
      <c r="D7" s="85" t="s">
        <v>157</v>
      </c>
      <c r="E7" s="80" t="s">
        <v>158</v>
      </c>
      <c r="F7" s="81" t="s">
        <v>159</v>
      </c>
      <c r="G7" s="83" t="s">
        <v>160</v>
      </c>
      <c r="H7" s="86" t="s">
        <v>161</v>
      </c>
    </row>
    <row r="10" customFormat="false" ht="21.75" hidden="false" customHeight="true" outlineLevel="0" collapsed="false">
      <c r="B10" s="87" t="str">
        <f aca="false">"PRODUCTOS · TODOS LOS PRODUCTOS  ("&amp;5&amp;")"</f>
        <v>PRODUCTOS · TODOS LOS PRODUCTOS  (5)</v>
      </c>
      <c r="C10" s="87"/>
      <c r="D10" s="87"/>
      <c r="E10" s="87"/>
      <c r="F10" s="87"/>
      <c r="G10" s="87"/>
      <c r="H10" s="88" t="s">
        <v>175</v>
      </c>
      <c r="I10" s="88" t="s">
        <v>176</v>
      </c>
    </row>
    <row r="11" customFormat="false" ht="24" hidden="false" customHeight="true" outlineLevel="0" collapsed="false">
      <c r="B11" s="36" t="s">
        <v>32</v>
      </c>
      <c r="C11" s="36" t="s">
        <v>33</v>
      </c>
      <c r="D11" s="36" t="s">
        <v>34</v>
      </c>
      <c r="E11" s="36" t="s">
        <v>35</v>
      </c>
      <c r="F11" s="36" t="s">
        <v>36</v>
      </c>
      <c r="G11" s="36" t="s">
        <v>37</v>
      </c>
      <c r="H11" s="36" t="s">
        <v>73</v>
      </c>
      <c r="I11" s="36" t="s">
        <v>177</v>
      </c>
    </row>
    <row r="12" customFormat="false" ht="19.5" hidden="false" customHeight="true" outlineLevel="0" collapsed="false">
      <c r="B12" s="89" t="str">
        <f aca="false">IFERROR(INDEX(Entregables!$D$5:$D$9,MATCH(1,Entregables!$AC$5:$AC$9,0)),"")</f>
        <v>Producto 1</v>
      </c>
      <c r="C12" s="90" t="str">
        <f aca="false">IFERROR(INDEX(Entregables!$E$5:$E$9,MATCH(1,Entregables!$AC$5:$AC$9,0)),"")</f>
        <v>Plan de trabajo y cronograma</v>
      </c>
      <c r="D12" s="91" t="n">
        <f aca="false">IFERROR(INDEX(Entregables!$H$5:$H$9,MATCH(1,Entregables!$AC$5:$AC$9,0)),"")</f>
        <v>46011</v>
      </c>
      <c r="E12" s="92" t="n">
        <f aca="false">IFERROR(INDEX(Entregables!$R$5:$R$9,MATCH(1,Entregables!$AC$5:$AC$9,0)),"")</f>
        <v>-298</v>
      </c>
      <c r="F12" s="93" t="str">
        <f aca="false">IFERROR(INDEX(Entregables!$S$5:$S$9,MATCH(1,Entregables!$AC$5:$AC$9,0)),"")</f>
        <v>En revisión</v>
      </c>
      <c r="G12" s="90" t="str">
        <f aca="false">IFERROR(INDEX(Entregables!$T$5:$T$9,MATCH(1,Entregables!$AC$5:$AC$9,0)),"")</f>
        <v>Presentado el 30/11/2025; espera conformidad UGP/FAO</v>
      </c>
      <c r="H12" s="93" t="str">
        <f aca="false">IFERROR(INDEX(Entregables!$K$5:$K$9,MATCH(1,Entregables!$AC$5:$AC$9,0)),"")</f>
        <v>D1</v>
      </c>
      <c r="I12" s="91" t="n">
        <f aca="false">IFERROR(IF(INDEX(Entregables!$M$5:$M$9,MATCH(1,Entregables!$AC$5:$AC$9,0))="","",INDEX(Entregables!$M$5:$M$9,MATCH(1,Entregables!$AC$5:$AC$9,0))),"")</f>
        <v>45991</v>
      </c>
    </row>
    <row r="13" customFormat="false" ht="19.5" hidden="false" customHeight="true" outlineLevel="0" collapsed="false">
      <c r="B13" s="89" t="str">
        <f aca="false">IFERROR(INDEX(Entregables!$D$5:$D$9,MATCH(2,Entregables!$AC$5:$AC$9,0)),"")</f>
        <v>Producto 2 · Parte I</v>
      </c>
      <c r="C13" s="90" t="str">
        <f aca="false">IFERROR(INDEX(Entregables!$E$5:$E$9,MATCH(2,Entregables!$AC$5:$AC$9,0)),"")</f>
        <v>Plan de capacitación y avances</v>
      </c>
      <c r="D13" s="91" t="n">
        <f aca="false">IFERROR(INDEX(Entregables!$H$5:$H$9,MATCH(2,Entregables!$AC$5:$AC$9,0)),"")</f>
        <v>46142</v>
      </c>
      <c r="E13" s="92" t="n">
        <f aca="false">IFERROR(INDEX(Entregables!$R$5:$R$9,MATCH(2,Entregables!$AC$5:$AC$9,0)),"")</f>
        <v>-167</v>
      </c>
      <c r="F13" s="93" t="str">
        <f aca="false">IFERROR(INDEX(Entregables!$S$5:$S$9,MATCH(2,Entregables!$AC$5:$AC$9,0)),"")</f>
        <v>Vencido</v>
      </c>
      <c r="G13" s="90" t="str">
        <f aca="false">IFERROR(INDEX(Entregables!$T$5:$T$9,MATCH(2,Entregables!$AC$5:$AC$9,0)),"")</f>
        <v>Venció hace 167 días</v>
      </c>
      <c r="H13" s="93" t="str">
        <f aca="false">IFERROR(INDEX(Entregables!$K$5:$K$9,MATCH(2,Entregables!$AC$5:$AC$9,0)),"")</f>
        <v>D2</v>
      </c>
      <c r="I13" s="91" t="str">
        <f aca="false">IFERROR(IF(INDEX(Entregables!$M$5:$M$9,MATCH(2,Entregables!$AC$5:$AC$9,0))="","",INDEX(Entregables!$M$5:$M$9,MATCH(2,Entregables!$AC$5:$AC$9,0))),"")</f>
        <v/>
      </c>
    </row>
    <row r="14" customFormat="false" ht="19.5" hidden="false" customHeight="true" outlineLevel="0" collapsed="false">
      <c r="B14" s="89" t="str">
        <f aca="false">IFERROR(INDEX(Entregables!$D$5:$D$9,MATCH(3,Entregables!$AC$5:$AC$9,0)),"")</f>
        <v>Producto 2 · Parte II</v>
      </c>
      <c r="C14" s="90" t="str">
        <f aca="false">IFERROR(INDEX(Entregables!$E$5:$E$9,MATCH(3,Entregables!$AC$5:$AC$9,0)),"")</f>
        <v>Plan de recuperación y fichas</v>
      </c>
      <c r="D14" s="91" t="n">
        <f aca="false">IFERROR(INDEX(Entregables!$H$5:$H$9,MATCH(3,Entregables!$AC$5:$AC$9,0)),"")</f>
        <v>46203</v>
      </c>
      <c r="E14" s="92" t="n">
        <f aca="false">IFERROR(INDEX(Entregables!$R$5:$R$9,MATCH(3,Entregables!$AC$5:$AC$9,0)),"")</f>
        <v>-106</v>
      </c>
      <c r="F14" s="93" t="str">
        <f aca="false">IFERROR(INDEX(Entregables!$S$5:$S$9,MATCH(3,Entregables!$AC$5:$AC$9,0)),"")</f>
        <v>Vencido</v>
      </c>
      <c r="G14" s="90" t="str">
        <f aca="false">IFERROR(INDEX(Entregables!$T$5:$T$9,MATCH(3,Entregables!$AC$5:$AC$9,0)),"")</f>
        <v>Venció hace 106 días</v>
      </c>
      <c r="H14" s="93" t="str">
        <f aca="false">IFERROR(INDEX(Entregables!$K$5:$K$9,MATCH(3,Entregables!$AC$5:$AC$9,0)),"")</f>
        <v>D2</v>
      </c>
      <c r="I14" s="91" t="str">
        <f aca="false">IFERROR(IF(INDEX(Entregables!$M$5:$M$9,MATCH(3,Entregables!$AC$5:$AC$9,0))="","",INDEX(Entregables!$M$5:$M$9,MATCH(3,Entregables!$AC$5:$AC$9,0))),"")</f>
        <v/>
      </c>
    </row>
    <row r="15" customFormat="false" ht="19.5" hidden="false" customHeight="true" outlineLevel="0" collapsed="false">
      <c r="B15" s="89" t="str">
        <f aca="false">IFERROR(INDEX(Entregables!$D$5:$D$9,MATCH(4,Entregables!$AC$5:$AC$9,0)),"")</f>
        <v>Producto 3</v>
      </c>
      <c r="C15" s="90" t="str">
        <f aca="false">IFERROR(INDEX(Entregables!$E$5:$E$9,MATCH(4,Entregables!$AC$5:$AC$9,0)),"")</f>
        <v>Pasantía, plantaciones y planes de vida</v>
      </c>
      <c r="D15" s="91" t="n">
        <f aca="false">IFERROR(INDEX(Entregables!$H$5:$H$9,MATCH(4,Entregables!$AC$5:$AC$9,0)),"")</f>
        <v>46374</v>
      </c>
      <c r="E15" s="92" t="n">
        <f aca="false">IFERROR(INDEX(Entregables!$R$5:$R$9,MATCH(4,Entregables!$AC$5:$AC$9,0)),"")</f>
        <v>65</v>
      </c>
      <c r="F15" s="93" t="str">
        <f aca="false">IFERROR(INDEX(Entregables!$S$5:$S$9,MATCH(4,Entregables!$AC$5:$AC$9,0)),"")</f>
        <v>Por entregar</v>
      </c>
      <c r="G15" s="90" t="str">
        <f aca="false">IFERROR(INDEX(Entregables!$T$5:$T$9,MATCH(4,Entregables!$AC$5:$AC$9,0)),"")</f>
        <v>Vence en 65 días</v>
      </c>
      <c r="H15" s="93" t="str">
        <f aca="false">IFERROR(INDEX(Entregables!$K$5:$K$9,MATCH(4,Entregables!$AC$5:$AC$9,0)),"")</f>
        <v>D3</v>
      </c>
      <c r="I15" s="91" t="str">
        <f aca="false">IFERROR(IF(INDEX(Entregables!$M$5:$M$9,MATCH(4,Entregables!$AC$5:$AC$9,0))="","",INDEX(Entregables!$M$5:$M$9,MATCH(4,Entregables!$AC$5:$AC$9,0))),"")</f>
        <v/>
      </c>
    </row>
    <row r="16" customFormat="false" ht="19.5" hidden="false" customHeight="true" outlineLevel="0" collapsed="false">
      <c r="B16" s="89" t="str">
        <f aca="false">IFERROR(INDEX(Entregables!$D$5:$D$9,MATCH(5,Entregables!$AC$5:$AC$9,0)),"")</f>
        <v>Producto 4</v>
      </c>
      <c r="C16" s="90" t="str">
        <f aca="false">IFERROR(INDEX(Entregables!$E$5:$E$9,MATCH(5,Entregables!$AC$5:$AC$9,0)),"")</f>
        <v>Informe final y resultados</v>
      </c>
      <c r="D16" s="91" t="n">
        <f aca="false">IFERROR(INDEX(Entregables!$H$5:$H$9,MATCH(5,Entregables!$AC$5:$AC$9,0)),"")</f>
        <v>46507</v>
      </c>
      <c r="E16" s="92" t="n">
        <f aca="false">IFERROR(INDEX(Entregables!$R$5:$R$9,MATCH(5,Entregables!$AC$5:$AC$9,0)),"")</f>
        <v>198</v>
      </c>
      <c r="F16" s="93" t="str">
        <f aca="false">IFERROR(INDEX(Entregables!$S$5:$S$9,MATCH(5,Entregables!$AC$5:$AC$9,0)),"")</f>
        <v>Por entregar</v>
      </c>
      <c r="G16" s="90" t="str">
        <f aca="false">IFERROR(INDEX(Entregables!$T$5:$T$9,MATCH(5,Entregables!$AC$5:$AC$9,0)),"")</f>
        <v>Vence en 198 días</v>
      </c>
      <c r="H16" s="93" t="str">
        <f aca="false">IFERROR(INDEX(Entregables!$K$5:$K$9,MATCH(5,Entregables!$AC$5:$AC$9,0)),"")</f>
        <v>D4</v>
      </c>
      <c r="I16" s="91" t="str">
        <f aca="false">IFERROR(IF(INDEX(Entregables!$M$5:$M$9,MATCH(5,Entregables!$AC$5:$AC$9,0))="","",INDEX(Entregables!$M$5:$M$9,MATCH(5,Entregables!$AC$5:$AC$9,0))),"")</f>
        <v/>
      </c>
    </row>
    <row r="18" customFormat="false" ht="21.75" hidden="false" customHeight="true" outlineLevel="0" collapsed="false">
      <c r="B18" s="94" t="str">
        <f aca="false">"PRODUCTOS · POR ENTREGAR  ("&amp;'Datos gráficos'!$C$27&amp;")"</f>
        <v>PRODUCTOS · POR ENTREGAR  (2)</v>
      </c>
      <c r="C18" s="94"/>
      <c r="D18" s="94"/>
      <c r="E18" s="94"/>
      <c r="F18" s="94"/>
      <c r="G18" s="94"/>
      <c r="H18" s="95" t="s">
        <v>175</v>
      </c>
      <c r="I18" s="95" t="s">
        <v>176</v>
      </c>
    </row>
    <row r="19" customFormat="false" ht="24" hidden="false" customHeight="true" outlineLevel="0" collapsed="false">
      <c r="B19" s="36" t="s">
        <v>32</v>
      </c>
      <c r="C19" s="36" t="s">
        <v>33</v>
      </c>
      <c r="D19" s="36" t="s">
        <v>34</v>
      </c>
      <c r="E19" s="36" t="s">
        <v>35</v>
      </c>
      <c r="F19" s="36" t="s">
        <v>36</v>
      </c>
      <c r="G19" s="36" t="s">
        <v>37</v>
      </c>
      <c r="H19" s="36" t="s">
        <v>73</v>
      </c>
      <c r="I19" s="36" t="s">
        <v>177</v>
      </c>
    </row>
    <row r="20" customFormat="false" ht="19.5" hidden="false" customHeight="true" outlineLevel="0" collapsed="false">
      <c r="B20" s="89" t="str">
        <f aca="false">IFERROR(INDEX(Entregables!$D$5:$D$9,MATCH(1,Entregables!$AD$5:$AD$9,0)),"Ningún producto en este estado.")</f>
        <v>Producto 3</v>
      </c>
      <c r="C20" s="90" t="str">
        <f aca="false">IFERROR(INDEX(Entregables!$E$5:$E$9,MATCH(1,Entregables!$AD$5:$AD$9,0)),"")</f>
        <v>Pasantía, plantaciones y planes de vida</v>
      </c>
      <c r="D20" s="91" t="n">
        <f aca="false">IFERROR(INDEX(Entregables!$H$5:$H$9,MATCH(1,Entregables!$AD$5:$AD$9,0)),"")</f>
        <v>46374</v>
      </c>
      <c r="E20" s="92" t="n">
        <f aca="false">IFERROR(INDEX(Entregables!$R$5:$R$9,MATCH(1,Entregables!$AD$5:$AD$9,0)),"")</f>
        <v>65</v>
      </c>
      <c r="F20" s="93" t="str">
        <f aca="false">IFERROR(INDEX(Entregables!$S$5:$S$9,MATCH(1,Entregables!$AD$5:$AD$9,0)),"")</f>
        <v>Por entregar</v>
      </c>
      <c r="G20" s="90" t="str">
        <f aca="false">IFERROR(INDEX(Entregables!$T$5:$T$9,MATCH(1,Entregables!$AD$5:$AD$9,0)),"")</f>
        <v>Vence en 65 días</v>
      </c>
      <c r="H20" s="93" t="str">
        <f aca="false">IFERROR(INDEX(Entregables!$K$5:$K$9,MATCH(1,Entregables!$AD$5:$AD$9,0)),"")</f>
        <v>D3</v>
      </c>
      <c r="I20" s="91" t="str">
        <f aca="false">IFERROR(IF(INDEX(Entregables!$M$5:$M$9,MATCH(1,Entregables!$AD$5:$AD$9,0))="","",INDEX(Entregables!$M$5:$M$9,MATCH(1,Entregables!$AD$5:$AD$9,0))),"")</f>
        <v/>
      </c>
    </row>
    <row r="21" customFormat="false" ht="19.5" hidden="false" customHeight="true" outlineLevel="0" collapsed="false">
      <c r="B21" s="89" t="str">
        <f aca="false">IFERROR(INDEX(Entregables!$D$5:$D$9,MATCH(2,Entregables!$AD$5:$AD$9,0)),"")</f>
        <v>Producto 4</v>
      </c>
      <c r="C21" s="90" t="str">
        <f aca="false">IFERROR(INDEX(Entregables!$E$5:$E$9,MATCH(2,Entregables!$AD$5:$AD$9,0)),"")</f>
        <v>Informe final y resultados</v>
      </c>
      <c r="D21" s="91" t="n">
        <f aca="false">IFERROR(INDEX(Entregables!$H$5:$H$9,MATCH(2,Entregables!$AD$5:$AD$9,0)),"")</f>
        <v>46507</v>
      </c>
      <c r="E21" s="92" t="n">
        <f aca="false">IFERROR(INDEX(Entregables!$R$5:$R$9,MATCH(2,Entregables!$AD$5:$AD$9,0)),"")</f>
        <v>198</v>
      </c>
      <c r="F21" s="93" t="str">
        <f aca="false">IFERROR(INDEX(Entregables!$S$5:$S$9,MATCH(2,Entregables!$AD$5:$AD$9,0)),"")</f>
        <v>Por entregar</v>
      </c>
      <c r="G21" s="90" t="str">
        <f aca="false">IFERROR(INDEX(Entregables!$T$5:$T$9,MATCH(2,Entregables!$AD$5:$AD$9,0)),"")</f>
        <v>Vence en 198 días</v>
      </c>
      <c r="H21" s="93" t="str">
        <f aca="false">IFERROR(INDEX(Entregables!$K$5:$K$9,MATCH(2,Entregables!$AD$5:$AD$9,0)),"")</f>
        <v>D4</v>
      </c>
      <c r="I21" s="91" t="str">
        <f aca="false">IFERROR(IF(INDEX(Entregables!$M$5:$M$9,MATCH(2,Entregables!$AD$5:$AD$9,0))="","",INDEX(Entregables!$M$5:$M$9,MATCH(2,Entregables!$AD$5:$AD$9,0))),"")</f>
        <v/>
      </c>
    </row>
    <row r="22" customFormat="false" ht="19.5" hidden="false" customHeight="true" outlineLevel="0" collapsed="false">
      <c r="B22" s="89" t="str">
        <f aca="false">IFERROR(INDEX(Entregables!$D$5:$D$9,MATCH(3,Entregables!$AD$5:$AD$9,0)),"")</f>
        <v/>
      </c>
      <c r="C22" s="90" t="str">
        <f aca="false">IFERROR(INDEX(Entregables!$E$5:$E$9,MATCH(3,Entregables!$AD$5:$AD$9,0)),"")</f>
        <v/>
      </c>
      <c r="D22" s="91" t="str">
        <f aca="false">IFERROR(INDEX(Entregables!$H$5:$H$9,MATCH(3,Entregables!$AD$5:$AD$9,0)),"")</f>
        <v/>
      </c>
      <c r="E22" s="92" t="str">
        <f aca="false">IFERROR(INDEX(Entregables!$R$5:$R$9,MATCH(3,Entregables!$AD$5:$AD$9,0)),"")</f>
        <v/>
      </c>
      <c r="F22" s="93" t="str">
        <f aca="false">IFERROR(INDEX(Entregables!$S$5:$S$9,MATCH(3,Entregables!$AD$5:$AD$9,0)),"")</f>
        <v/>
      </c>
      <c r="G22" s="90" t="str">
        <f aca="false">IFERROR(INDEX(Entregables!$T$5:$T$9,MATCH(3,Entregables!$AD$5:$AD$9,0)),"")</f>
        <v/>
      </c>
      <c r="H22" s="93" t="str">
        <f aca="false">IFERROR(INDEX(Entregables!$K$5:$K$9,MATCH(3,Entregables!$AD$5:$AD$9,0)),"")</f>
        <v/>
      </c>
      <c r="I22" s="91" t="str">
        <f aca="false">IFERROR(IF(INDEX(Entregables!$M$5:$M$9,MATCH(3,Entregables!$AD$5:$AD$9,0))="","",INDEX(Entregables!$M$5:$M$9,MATCH(3,Entregables!$AD$5:$AD$9,0))),"")</f>
        <v/>
      </c>
    </row>
    <row r="23" customFormat="false" ht="19.5" hidden="false" customHeight="true" outlineLevel="0" collapsed="false">
      <c r="B23" s="89" t="str">
        <f aca="false">IFERROR(INDEX(Entregables!$D$5:$D$9,MATCH(4,Entregables!$AD$5:$AD$9,0)),"")</f>
        <v/>
      </c>
      <c r="C23" s="90" t="str">
        <f aca="false">IFERROR(INDEX(Entregables!$E$5:$E$9,MATCH(4,Entregables!$AD$5:$AD$9,0)),"")</f>
        <v/>
      </c>
      <c r="D23" s="91" t="str">
        <f aca="false">IFERROR(INDEX(Entregables!$H$5:$H$9,MATCH(4,Entregables!$AD$5:$AD$9,0)),"")</f>
        <v/>
      </c>
      <c r="E23" s="92" t="str">
        <f aca="false">IFERROR(INDEX(Entregables!$R$5:$R$9,MATCH(4,Entregables!$AD$5:$AD$9,0)),"")</f>
        <v/>
      </c>
      <c r="F23" s="93" t="str">
        <f aca="false">IFERROR(INDEX(Entregables!$S$5:$S$9,MATCH(4,Entregables!$AD$5:$AD$9,0)),"")</f>
        <v/>
      </c>
      <c r="G23" s="90" t="str">
        <f aca="false">IFERROR(INDEX(Entregables!$T$5:$T$9,MATCH(4,Entregables!$AD$5:$AD$9,0)),"")</f>
        <v/>
      </c>
      <c r="H23" s="93" t="str">
        <f aca="false">IFERROR(INDEX(Entregables!$K$5:$K$9,MATCH(4,Entregables!$AD$5:$AD$9,0)),"")</f>
        <v/>
      </c>
      <c r="I23" s="91" t="str">
        <f aca="false">IFERROR(IF(INDEX(Entregables!$M$5:$M$9,MATCH(4,Entregables!$AD$5:$AD$9,0))="","",INDEX(Entregables!$M$5:$M$9,MATCH(4,Entregables!$AD$5:$AD$9,0))),"")</f>
        <v/>
      </c>
    </row>
    <row r="24" customFormat="false" ht="19.5" hidden="false" customHeight="true" outlineLevel="0" collapsed="false">
      <c r="B24" s="89" t="str">
        <f aca="false">IFERROR(INDEX(Entregables!$D$5:$D$9,MATCH(5,Entregables!$AD$5:$AD$9,0)),"")</f>
        <v/>
      </c>
      <c r="C24" s="90" t="str">
        <f aca="false">IFERROR(INDEX(Entregables!$E$5:$E$9,MATCH(5,Entregables!$AD$5:$AD$9,0)),"")</f>
        <v/>
      </c>
      <c r="D24" s="91" t="str">
        <f aca="false">IFERROR(INDEX(Entregables!$H$5:$H$9,MATCH(5,Entregables!$AD$5:$AD$9,0)),"")</f>
        <v/>
      </c>
      <c r="E24" s="92" t="str">
        <f aca="false">IFERROR(INDEX(Entregables!$R$5:$R$9,MATCH(5,Entregables!$AD$5:$AD$9,0)),"")</f>
        <v/>
      </c>
      <c r="F24" s="93" t="str">
        <f aca="false">IFERROR(INDEX(Entregables!$S$5:$S$9,MATCH(5,Entregables!$AD$5:$AD$9,0)),"")</f>
        <v/>
      </c>
      <c r="G24" s="90" t="str">
        <f aca="false">IFERROR(INDEX(Entregables!$T$5:$T$9,MATCH(5,Entregables!$AD$5:$AD$9,0)),"")</f>
        <v/>
      </c>
      <c r="H24" s="93" t="str">
        <f aca="false">IFERROR(INDEX(Entregables!$K$5:$K$9,MATCH(5,Entregables!$AD$5:$AD$9,0)),"")</f>
        <v/>
      </c>
      <c r="I24" s="91" t="str">
        <f aca="false">IFERROR(IF(INDEX(Entregables!$M$5:$M$9,MATCH(5,Entregables!$AD$5:$AD$9,0))="","",INDEX(Entregables!$M$5:$M$9,MATCH(5,Entregables!$AD$5:$AD$9,0))),"")</f>
        <v/>
      </c>
    </row>
    <row r="26" customFormat="false" ht="21.75" hidden="false" customHeight="true" outlineLevel="0" collapsed="false">
      <c r="B26" s="96" t="str">
        <f aca="false">"PRODUCTOS · POR VENCER  ("&amp;'Datos gráficos'!$C$28&amp;")"</f>
        <v>PRODUCTOS · POR VENCER  (0)</v>
      </c>
      <c r="C26" s="96"/>
      <c r="D26" s="96"/>
      <c r="E26" s="96"/>
      <c r="F26" s="96"/>
      <c r="G26" s="96"/>
      <c r="H26" s="97" t="s">
        <v>175</v>
      </c>
      <c r="I26" s="97" t="s">
        <v>176</v>
      </c>
    </row>
    <row r="27" customFormat="false" ht="24" hidden="false" customHeight="true" outlineLevel="0" collapsed="false">
      <c r="B27" s="36" t="s">
        <v>32</v>
      </c>
      <c r="C27" s="36" t="s">
        <v>33</v>
      </c>
      <c r="D27" s="36" t="s">
        <v>34</v>
      </c>
      <c r="E27" s="36" t="s">
        <v>35</v>
      </c>
      <c r="F27" s="36" t="s">
        <v>36</v>
      </c>
      <c r="G27" s="36" t="s">
        <v>37</v>
      </c>
      <c r="H27" s="36" t="s">
        <v>73</v>
      </c>
      <c r="I27" s="36" t="s">
        <v>177</v>
      </c>
    </row>
    <row r="28" customFormat="false" ht="19.5" hidden="false" customHeight="true" outlineLevel="0" collapsed="false">
      <c r="B28" s="89" t="str">
        <f aca="false">IFERROR(INDEX(Entregables!$D$5:$D$9,MATCH(1,Entregables!$AE$5:$AE$9,0)),"Ningún producto en este estado.")</f>
        <v>Ningún producto en este estado.</v>
      </c>
      <c r="C28" s="90" t="str">
        <f aca="false">IFERROR(INDEX(Entregables!$E$5:$E$9,MATCH(1,Entregables!$AE$5:$AE$9,0)),"")</f>
        <v/>
      </c>
      <c r="D28" s="91" t="str">
        <f aca="false">IFERROR(INDEX(Entregables!$H$5:$H$9,MATCH(1,Entregables!$AE$5:$AE$9,0)),"")</f>
        <v/>
      </c>
      <c r="E28" s="92" t="str">
        <f aca="false">IFERROR(INDEX(Entregables!$R$5:$R$9,MATCH(1,Entregables!$AE$5:$AE$9,0)),"")</f>
        <v/>
      </c>
      <c r="F28" s="93" t="str">
        <f aca="false">IFERROR(INDEX(Entregables!$S$5:$S$9,MATCH(1,Entregables!$AE$5:$AE$9,0)),"")</f>
        <v/>
      </c>
      <c r="G28" s="90" t="str">
        <f aca="false">IFERROR(INDEX(Entregables!$T$5:$T$9,MATCH(1,Entregables!$AE$5:$AE$9,0)),"")</f>
        <v/>
      </c>
      <c r="H28" s="93" t="str">
        <f aca="false">IFERROR(INDEX(Entregables!$K$5:$K$9,MATCH(1,Entregables!$AE$5:$AE$9,0)),"")</f>
        <v/>
      </c>
      <c r="I28" s="91" t="str">
        <f aca="false">IFERROR(IF(INDEX(Entregables!$M$5:$M$9,MATCH(1,Entregables!$AE$5:$AE$9,0))="","",INDEX(Entregables!$M$5:$M$9,MATCH(1,Entregables!$AE$5:$AE$9,0))),"")</f>
        <v/>
      </c>
    </row>
    <row r="29" customFormat="false" ht="19.5" hidden="false" customHeight="true" outlineLevel="0" collapsed="false">
      <c r="B29" s="89" t="str">
        <f aca="false">IFERROR(INDEX(Entregables!$D$5:$D$9,MATCH(2,Entregables!$AE$5:$AE$9,0)),"")</f>
        <v/>
      </c>
      <c r="C29" s="90" t="str">
        <f aca="false">IFERROR(INDEX(Entregables!$E$5:$E$9,MATCH(2,Entregables!$AE$5:$AE$9,0)),"")</f>
        <v/>
      </c>
      <c r="D29" s="91" t="str">
        <f aca="false">IFERROR(INDEX(Entregables!$H$5:$H$9,MATCH(2,Entregables!$AE$5:$AE$9,0)),"")</f>
        <v/>
      </c>
      <c r="E29" s="92" t="str">
        <f aca="false">IFERROR(INDEX(Entregables!$R$5:$R$9,MATCH(2,Entregables!$AE$5:$AE$9,0)),"")</f>
        <v/>
      </c>
      <c r="F29" s="93" t="str">
        <f aca="false">IFERROR(INDEX(Entregables!$S$5:$S$9,MATCH(2,Entregables!$AE$5:$AE$9,0)),"")</f>
        <v/>
      </c>
      <c r="G29" s="90" t="str">
        <f aca="false">IFERROR(INDEX(Entregables!$T$5:$T$9,MATCH(2,Entregables!$AE$5:$AE$9,0)),"")</f>
        <v/>
      </c>
      <c r="H29" s="93" t="str">
        <f aca="false">IFERROR(INDEX(Entregables!$K$5:$K$9,MATCH(2,Entregables!$AE$5:$AE$9,0)),"")</f>
        <v/>
      </c>
      <c r="I29" s="91" t="str">
        <f aca="false">IFERROR(IF(INDEX(Entregables!$M$5:$M$9,MATCH(2,Entregables!$AE$5:$AE$9,0))="","",INDEX(Entregables!$M$5:$M$9,MATCH(2,Entregables!$AE$5:$AE$9,0))),"")</f>
        <v/>
      </c>
    </row>
    <row r="30" customFormat="false" ht="19.5" hidden="false" customHeight="true" outlineLevel="0" collapsed="false">
      <c r="B30" s="89" t="str">
        <f aca="false">IFERROR(INDEX(Entregables!$D$5:$D$9,MATCH(3,Entregables!$AE$5:$AE$9,0)),"")</f>
        <v/>
      </c>
      <c r="C30" s="90" t="str">
        <f aca="false">IFERROR(INDEX(Entregables!$E$5:$E$9,MATCH(3,Entregables!$AE$5:$AE$9,0)),"")</f>
        <v/>
      </c>
      <c r="D30" s="91" t="str">
        <f aca="false">IFERROR(INDEX(Entregables!$H$5:$H$9,MATCH(3,Entregables!$AE$5:$AE$9,0)),"")</f>
        <v/>
      </c>
      <c r="E30" s="92" t="str">
        <f aca="false">IFERROR(INDEX(Entregables!$R$5:$R$9,MATCH(3,Entregables!$AE$5:$AE$9,0)),"")</f>
        <v/>
      </c>
      <c r="F30" s="93" t="str">
        <f aca="false">IFERROR(INDEX(Entregables!$S$5:$S$9,MATCH(3,Entregables!$AE$5:$AE$9,0)),"")</f>
        <v/>
      </c>
      <c r="G30" s="90" t="str">
        <f aca="false">IFERROR(INDEX(Entregables!$T$5:$T$9,MATCH(3,Entregables!$AE$5:$AE$9,0)),"")</f>
        <v/>
      </c>
      <c r="H30" s="93" t="str">
        <f aca="false">IFERROR(INDEX(Entregables!$K$5:$K$9,MATCH(3,Entregables!$AE$5:$AE$9,0)),"")</f>
        <v/>
      </c>
      <c r="I30" s="91" t="str">
        <f aca="false">IFERROR(IF(INDEX(Entregables!$M$5:$M$9,MATCH(3,Entregables!$AE$5:$AE$9,0))="","",INDEX(Entregables!$M$5:$M$9,MATCH(3,Entregables!$AE$5:$AE$9,0))),"")</f>
        <v/>
      </c>
    </row>
    <row r="31" customFormat="false" ht="19.5" hidden="false" customHeight="true" outlineLevel="0" collapsed="false">
      <c r="B31" s="89" t="str">
        <f aca="false">IFERROR(INDEX(Entregables!$D$5:$D$9,MATCH(4,Entregables!$AE$5:$AE$9,0)),"")</f>
        <v/>
      </c>
      <c r="C31" s="90" t="str">
        <f aca="false">IFERROR(INDEX(Entregables!$E$5:$E$9,MATCH(4,Entregables!$AE$5:$AE$9,0)),"")</f>
        <v/>
      </c>
      <c r="D31" s="91" t="str">
        <f aca="false">IFERROR(INDEX(Entregables!$H$5:$H$9,MATCH(4,Entregables!$AE$5:$AE$9,0)),"")</f>
        <v/>
      </c>
      <c r="E31" s="92" t="str">
        <f aca="false">IFERROR(INDEX(Entregables!$R$5:$R$9,MATCH(4,Entregables!$AE$5:$AE$9,0)),"")</f>
        <v/>
      </c>
      <c r="F31" s="93" t="str">
        <f aca="false">IFERROR(INDEX(Entregables!$S$5:$S$9,MATCH(4,Entregables!$AE$5:$AE$9,0)),"")</f>
        <v/>
      </c>
      <c r="G31" s="90" t="str">
        <f aca="false">IFERROR(INDEX(Entregables!$T$5:$T$9,MATCH(4,Entregables!$AE$5:$AE$9,0)),"")</f>
        <v/>
      </c>
      <c r="H31" s="93" t="str">
        <f aca="false">IFERROR(INDEX(Entregables!$K$5:$K$9,MATCH(4,Entregables!$AE$5:$AE$9,0)),"")</f>
        <v/>
      </c>
      <c r="I31" s="91" t="str">
        <f aca="false">IFERROR(IF(INDEX(Entregables!$M$5:$M$9,MATCH(4,Entregables!$AE$5:$AE$9,0))="","",INDEX(Entregables!$M$5:$M$9,MATCH(4,Entregables!$AE$5:$AE$9,0))),"")</f>
        <v/>
      </c>
    </row>
    <row r="32" customFormat="false" ht="19.5" hidden="false" customHeight="true" outlineLevel="0" collapsed="false">
      <c r="B32" s="89" t="str">
        <f aca="false">IFERROR(INDEX(Entregables!$D$5:$D$9,MATCH(5,Entregables!$AE$5:$AE$9,0)),"")</f>
        <v/>
      </c>
      <c r="C32" s="90" t="str">
        <f aca="false">IFERROR(INDEX(Entregables!$E$5:$E$9,MATCH(5,Entregables!$AE$5:$AE$9,0)),"")</f>
        <v/>
      </c>
      <c r="D32" s="91" t="str">
        <f aca="false">IFERROR(INDEX(Entregables!$H$5:$H$9,MATCH(5,Entregables!$AE$5:$AE$9,0)),"")</f>
        <v/>
      </c>
      <c r="E32" s="92" t="str">
        <f aca="false">IFERROR(INDEX(Entregables!$R$5:$R$9,MATCH(5,Entregables!$AE$5:$AE$9,0)),"")</f>
        <v/>
      </c>
      <c r="F32" s="93" t="str">
        <f aca="false">IFERROR(INDEX(Entregables!$S$5:$S$9,MATCH(5,Entregables!$AE$5:$AE$9,0)),"")</f>
        <v/>
      </c>
      <c r="G32" s="90" t="str">
        <f aca="false">IFERROR(INDEX(Entregables!$T$5:$T$9,MATCH(5,Entregables!$AE$5:$AE$9,0)),"")</f>
        <v/>
      </c>
      <c r="H32" s="93" t="str">
        <f aca="false">IFERROR(INDEX(Entregables!$K$5:$K$9,MATCH(5,Entregables!$AE$5:$AE$9,0)),"")</f>
        <v/>
      </c>
      <c r="I32" s="91" t="str">
        <f aca="false">IFERROR(IF(INDEX(Entregables!$M$5:$M$9,MATCH(5,Entregables!$AE$5:$AE$9,0))="","",INDEX(Entregables!$M$5:$M$9,MATCH(5,Entregables!$AE$5:$AE$9,0))),"")</f>
        <v/>
      </c>
    </row>
    <row r="34" customFormat="false" ht="21.75" hidden="false" customHeight="true" outlineLevel="0" collapsed="false">
      <c r="B34" s="98" t="str">
        <f aca="false">"PRODUCTOS · VENCIDO  ("&amp;'Datos gráficos'!$C$29&amp;")"</f>
        <v>PRODUCTOS · VENCIDO  (2)</v>
      </c>
      <c r="C34" s="98"/>
      <c r="D34" s="98"/>
      <c r="E34" s="98"/>
      <c r="F34" s="98"/>
      <c r="G34" s="98"/>
      <c r="H34" s="99" t="s">
        <v>175</v>
      </c>
      <c r="I34" s="99" t="s">
        <v>176</v>
      </c>
    </row>
    <row r="35" customFormat="false" ht="24" hidden="false" customHeight="true" outlineLevel="0" collapsed="false">
      <c r="B35" s="36" t="s">
        <v>32</v>
      </c>
      <c r="C35" s="36" t="s">
        <v>33</v>
      </c>
      <c r="D35" s="36" t="s">
        <v>34</v>
      </c>
      <c r="E35" s="36" t="s">
        <v>35</v>
      </c>
      <c r="F35" s="36" t="s">
        <v>36</v>
      </c>
      <c r="G35" s="36" t="s">
        <v>37</v>
      </c>
      <c r="H35" s="36" t="s">
        <v>73</v>
      </c>
      <c r="I35" s="36" t="s">
        <v>177</v>
      </c>
    </row>
    <row r="36" customFormat="false" ht="19.5" hidden="false" customHeight="true" outlineLevel="0" collapsed="false">
      <c r="B36" s="89" t="str">
        <f aca="false">IFERROR(INDEX(Entregables!$D$5:$D$9,MATCH(1,Entregables!$AF$5:$AF$9,0)),"Ningún producto en este estado.")</f>
        <v>Producto 2 · Parte I</v>
      </c>
      <c r="C36" s="90" t="str">
        <f aca="false">IFERROR(INDEX(Entregables!$E$5:$E$9,MATCH(1,Entregables!$AF$5:$AF$9,0)),"")</f>
        <v>Plan de capacitación y avances</v>
      </c>
      <c r="D36" s="91" t="n">
        <f aca="false">IFERROR(INDEX(Entregables!$H$5:$H$9,MATCH(1,Entregables!$AF$5:$AF$9,0)),"")</f>
        <v>46142</v>
      </c>
      <c r="E36" s="92" t="n">
        <f aca="false">IFERROR(INDEX(Entregables!$R$5:$R$9,MATCH(1,Entregables!$AF$5:$AF$9,0)),"")</f>
        <v>-167</v>
      </c>
      <c r="F36" s="93" t="str">
        <f aca="false">IFERROR(INDEX(Entregables!$S$5:$S$9,MATCH(1,Entregables!$AF$5:$AF$9,0)),"")</f>
        <v>Vencido</v>
      </c>
      <c r="G36" s="90" t="str">
        <f aca="false">IFERROR(INDEX(Entregables!$T$5:$T$9,MATCH(1,Entregables!$AF$5:$AF$9,0)),"")</f>
        <v>Venció hace 167 días</v>
      </c>
      <c r="H36" s="93" t="str">
        <f aca="false">IFERROR(INDEX(Entregables!$K$5:$K$9,MATCH(1,Entregables!$AF$5:$AF$9,0)),"")</f>
        <v>D2</v>
      </c>
      <c r="I36" s="91" t="str">
        <f aca="false">IFERROR(IF(INDEX(Entregables!$M$5:$M$9,MATCH(1,Entregables!$AF$5:$AF$9,0))="","",INDEX(Entregables!$M$5:$M$9,MATCH(1,Entregables!$AF$5:$AF$9,0))),"")</f>
        <v/>
      </c>
    </row>
    <row r="37" customFormat="false" ht="19.5" hidden="false" customHeight="true" outlineLevel="0" collapsed="false">
      <c r="B37" s="89" t="str">
        <f aca="false">IFERROR(INDEX(Entregables!$D$5:$D$9,MATCH(2,Entregables!$AF$5:$AF$9,0)),"")</f>
        <v>Producto 2 · Parte II</v>
      </c>
      <c r="C37" s="90" t="str">
        <f aca="false">IFERROR(INDEX(Entregables!$E$5:$E$9,MATCH(2,Entregables!$AF$5:$AF$9,0)),"")</f>
        <v>Plan de recuperación y fichas</v>
      </c>
      <c r="D37" s="91" t="n">
        <f aca="false">IFERROR(INDEX(Entregables!$H$5:$H$9,MATCH(2,Entregables!$AF$5:$AF$9,0)),"")</f>
        <v>46203</v>
      </c>
      <c r="E37" s="92" t="n">
        <f aca="false">IFERROR(INDEX(Entregables!$R$5:$R$9,MATCH(2,Entregables!$AF$5:$AF$9,0)),"")</f>
        <v>-106</v>
      </c>
      <c r="F37" s="93" t="str">
        <f aca="false">IFERROR(INDEX(Entregables!$S$5:$S$9,MATCH(2,Entregables!$AF$5:$AF$9,0)),"")</f>
        <v>Vencido</v>
      </c>
      <c r="G37" s="90" t="str">
        <f aca="false">IFERROR(INDEX(Entregables!$T$5:$T$9,MATCH(2,Entregables!$AF$5:$AF$9,0)),"")</f>
        <v>Venció hace 106 días</v>
      </c>
      <c r="H37" s="93" t="str">
        <f aca="false">IFERROR(INDEX(Entregables!$K$5:$K$9,MATCH(2,Entregables!$AF$5:$AF$9,0)),"")</f>
        <v>D2</v>
      </c>
      <c r="I37" s="91" t="str">
        <f aca="false">IFERROR(IF(INDEX(Entregables!$M$5:$M$9,MATCH(2,Entregables!$AF$5:$AF$9,0))="","",INDEX(Entregables!$M$5:$M$9,MATCH(2,Entregables!$AF$5:$AF$9,0))),"")</f>
        <v/>
      </c>
    </row>
    <row r="38" customFormat="false" ht="19.5" hidden="false" customHeight="true" outlineLevel="0" collapsed="false">
      <c r="B38" s="89" t="str">
        <f aca="false">IFERROR(INDEX(Entregables!$D$5:$D$9,MATCH(3,Entregables!$AF$5:$AF$9,0)),"")</f>
        <v/>
      </c>
      <c r="C38" s="90" t="str">
        <f aca="false">IFERROR(INDEX(Entregables!$E$5:$E$9,MATCH(3,Entregables!$AF$5:$AF$9,0)),"")</f>
        <v/>
      </c>
      <c r="D38" s="91" t="str">
        <f aca="false">IFERROR(INDEX(Entregables!$H$5:$H$9,MATCH(3,Entregables!$AF$5:$AF$9,0)),"")</f>
        <v/>
      </c>
      <c r="E38" s="92" t="str">
        <f aca="false">IFERROR(INDEX(Entregables!$R$5:$R$9,MATCH(3,Entregables!$AF$5:$AF$9,0)),"")</f>
        <v/>
      </c>
      <c r="F38" s="93" t="str">
        <f aca="false">IFERROR(INDEX(Entregables!$S$5:$S$9,MATCH(3,Entregables!$AF$5:$AF$9,0)),"")</f>
        <v/>
      </c>
      <c r="G38" s="90" t="str">
        <f aca="false">IFERROR(INDEX(Entregables!$T$5:$T$9,MATCH(3,Entregables!$AF$5:$AF$9,0)),"")</f>
        <v/>
      </c>
      <c r="H38" s="93" t="str">
        <f aca="false">IFERROR(INDEX(Entregables!$K$5:$K$9,MATCH(3,Entregables!$AF$5:$AF$9,0)),"")</f>
        <v/>
      </c>
      <c r="I38" s="91" t="str">
        <f aca="false">IFERROR(IF(INDEX(Entregables!$M$5:$M$9,MATCH(3,Entregables!$AF$5:$AF$9,0))="","",INDEX(Entregables!$M$5:$M$9,MATCH(3,Entregables!$AF$5:$AF$9,0))),"")</f>
        <v/>
      </c>
    </row>
    <row r="39" customFormat="false" ht="19.5" hidden="false" customHeight="true" outlineLevel="0" collapsed="false">
      <c r="B39" s="89" t="str">
        <f aca="false">IFERROR(INDEX(Entregables!$D$5:$D$9,MATCH(4,Entregables!$AF$5:$AF$9,0)),"")</f>
        <v/>
      </c>
      <c r="C39" s="90" t="str">
        <f aca="false">IFERROR(INDEX(Entregables!$E$5:$E$9,MATCH(4,Entregables!$AF$5:$AF$9,0)),"")</f>
        <v/>
      </c>
      <c r="D39" s="91" t="str">
        <f aca="false">IFERROR(INDEX(Entregables!$H$5:$H$9,MATCH(4,Entregables!$AF$5:$AF$9,0)),"")</f>
        <v/>
      </c>
      <c r="E39" s="92" t="str">
        <f aca="false">IFERROR(INDEX(Entregables!$R$5:$R$9,MATCH(4,Entregables!$AF$5:$AF$9,0)),"")</f>
        <v/>
      </c>
      <c r="F39" s="93" t="str">
        <f aca="false">IFERROR(INDEX(Entregables!$S$5:$S$9,MATCH(4,Entregables!$AF$5:$AF$9,0)),"")</f>
        <v/>
      </c>
      <c r="G39" s="90" t="str">
        <f aca="false">IFERROR(INDEX(Entregables!$T$5:$T$9,MATCH(4,Entregables!$AF$5:$AF$9,0)),"")</f>
        <v/>
      </c>
      <c r="H39" s="93" t="str">
        <f aca="false">IFERROR(INDEX(Entregables!$K$5:$K$9,MATCH(4,Entregables!$AF$5:$AF$9,0)),"")</f>
        <v/>
      </c>
      <c r="I39" s="91" t="str">
        <f aca="false">IFERROR(IF(INDEX(Entregables!$M$5:$M$9,MATCH(4,Entregables!$AF$5:$AF$9,0))="","",INDEX(Entregables!$M$5:$M$9,MATCH(4,Entregables!$AF$5:$AF$9,0))),"")</f>
        <v/>
      </c>
    </row>
    <row r="40" customFormat="false" ht="19.5" hidden="false" customHeight="true" outlineLevel="0" collapsed="false">
      <c r="B40" s="89" t="str">
        <f aca="false">IFERROR(INDEX(Entregables!$D$5:$D$9,MATCH(5,Entregables!$AF$5:$AF$9,0)),"")</f>
        <v/>
      </c>
      <c r="C40" s="90" t="str">
        <f aca="false">IFERROR(INDEX(Entregables!$E$5:$E$9,MATCH(5,Entregables!$AF$5:$AF$9,0)),"")</f>
        <v/>
      </c>
      <c r="D40" s="91" t="str">
        <f aca="false">IFERROR(INDEX(Entregables!$H$5:$H$9,MATCH(5,Entregables!$AF$5:$AF$9,0)),"")</f>
        <v/>
      </c>
      <c r="E40" s="92" t="str">
        <f aca="false">IFERROR(INDEX(Entregables!$R$5:$R$9,MATCH(5,Entregables!$AF$5:$AF$9,0)),"")</f>
        <v/>
      </c>
      <c r="F40" s="93" t="str">
        <f aca="false">IFERROR(INDEX(Entregables!$S$5:$S$9,MATCH(5,Entregables!$AF$5:$AF$9,0)),"")</f>
        <v/>
      </c>
      <c r="G40" s="90" t="str">
        <f aca="false">IFERROR(INDEX(Entregables!$T$5:$T$9,MATCH(5,Entregables!$AF$5:$AF$9,0)),"")</f>
        <v/>
      </c>
      <c r="H40" s="93" t="str">
        <f aca="false">IFERROR(INDEX(Entregables!$K$5:$K$9,MATCH(5,Entregables!$AF$5:$AF$9,0)),"")</f>
        <v/>
      </c>
      <c r="I40" s="91" t="str">
        <f aca="false">IFERROR(IF(INDEX(Entregables!$M$5:$M$9,MATCH(5,Entregables!$AF$5:$AF$9,0))="","",INDEX(Entregables!$M$5:$M$9,MATCH(5,Entregables!$AF$5:$AF$9,0))),"")</f>
        <v/>
      </c>
    </row>
    <row r="42" customFormat="false" ht="21.75" hidden="false" customHeight="true" outlineLevel="0" collapsed="false">
      <c r="B42" s="100" t="str">
        <f aca="false">"PRODUCTOS · EN REVISIÓN  ("&amp;'Datos gráficos'!$C$30&amp;")"</f>
        <v>PRODUCTOS · EN REVISIÓN  (1)</v>
      </c>
      <c r="C42" s="100"/>
      <c r="D42" s="100"/>
      <c r="E42" s="100"/>
      <c r="F42" s="100"/>
      <c r="G42" s="100"/>
      <c r="H42" s="101" t="s">
        <v>175</v>
      </c>
      <c r="I42" s="101" t="s">
        <v>176</v>
      </c>
    </row>
    <row r="43" customFormat="false" ht="24" hidden="false" customHeight="true" outlineLevel="0" collapsed="false">
      <c r="B43" s="36" t="s">
        <v>32</v>
      </c>
      <c r="C43" s="36" t="s">
        <v>33</v>
      </c>
      <c r="D43" s="36" t="s">
        <v>34</v>
      </c>
      <c r="E43" s="36" t="s">
        <v>35</v>
      </c>
      <c r="F43" s="36" t="s">
        <v>36</v>
      </c>
      <c r="G43" s="36" t="s">
        <v>37</v>
      </c>
      <c r="H43" s="36" t="s">
        <v>73</v>
      </c>
      <c r="I43" s="36" t="s">
        <v>177</v>
      </c>
    </row>
    <row r="44" customFormat="false" ht="19.5" hidden="false" customHeight="true" outlineLevel="0" collapsed="false">
      <c r="B44" s="89" t="str">
        <f aca="false">IFERROR(INDEX(Entregables!$D$5:$D$9,MATCH(1,Entregables!$AG$5:$AG$9,0)),"Ningún producto en este estado.")</f>
        <v>Producto 1</v>
      </c>
      <c r="C44" s="90" t="str">
        <f aca="false">IFERROR(INDEX(Entregables!$E$5:$E$9,MATCH(1,Entregables!$AG$5:$AG$9,0)),"")</f>
        <v>Plan de trabajo y cronograma</v>
      </c>
      <c r="D44" s="91" t="n">
        <f aca="false">IFERROR(INDEX(Entregables!$H$5:$H$9,MATCH(1,Entregables!$AG$5:$AG$9,0)),"")</f>
        <v>46011</v>
      </c>
      <c r="E44" s="92" t="n">
        <f aca="false">IFERROR(INDEX(Entregables!$R$5:$R$9,MATCH(1,Entregables!$AG$5:$AG$9,0)),"")</f>
        <v>-298</v>
      </c>
      <c r="F44" s="93" t="str">
        <f aca="false">IFERROR(INDEX(Entregables!$S$5:$S$9,MATCH(1,Entregables!$AG$5:$AG$9,0)),"")</f>
        <v>En revisión</v>
      </c>
      <c r="G44" s="90" t="str">
        <f aca="false">IFERROR(INDEX(Entregables!$T$5:$T$9,MATCH(1,Entregables!$AG$5:$AG$9,0)),"")</f>
        <v>Presentado el 30/11/2025; espera conformidad UGP/FAO</v>
      </c>
      <c r="H44" s="93" t="str">
        <f aca="false">IFERROR(INDEX(Entregables!$K$5:$K$9,MATCH(1,Entregables!$AG$5:$AG$9,0)),"")</f>
        <v>D1</v>
      </c>
      <c r="I44" s="91" t="n">
        <f aca="false">IFERROR(IF(INDEX(Entregables!$M$5:$M$9,MATCH(1,Entregables!$AG$5:$AG$9,0))="","",INDEX(Entregables!$M$5:$M$9,MATCH(1,Entregables!$AG$5:$AG$9,0))),"")</f>
        <v>45991</v>
      </c>
    </row>
    <row r="45" customFormat="false" ht="19.5" hidden="false" customHeight="true" outlineLevel="0" collapsed="false">
      <c r="B45" s="89" t="str">
        <f aca="false">IFERROR(INDEX(Entregables!$D$5:$D$9,MATCH(2,Entregables!$AG$5:$AG$9,0)),"")</f>
        <v/>
      </c>
      <c r="C45" s="90" t="str">
        <f aca="false">IFERROR(INDEX(Entregables!$E$5:$E$9,MATCH(2,Entregables!$AG$5:$AG$9,0)),"")</f>
        <v/>
      </c>
      <c r="D45" s="91" t="str">
        <f aca="false">IFERROR(INDEX(Entregables!$H$5:$H$9,MATCH(2,Entregables!$AG$5:$AG$9,0)),"")</f>
        <v/>
      </c>
      <c r="E45" s="92" t="str">
        <f aca="false">IFERROR(INDEX(Entregables!$R$5:$R$9,MATCH(2,Entregables!$AG$5:$AG$9,0)),"")</f>
        <v/>
      </c>
      <c r="F45" s="93" t="str">
        <f aca="false">IFERROR(INDEX(Entregables!$S$5:$S$9,MATCH(2,Entregables!$AG$5:$AG$9,0)),"")</f>
        <v/>
      </c>
      <c r="G45" s="90" t="str">
        <f aca="false">IFERROR(INDEX(Entregables!$T$5:$T$9,MATCH(2,Entregables!$AG$5:$AG$9,0)),"")</f>
        <v/>
      </c>
      <c r="H45" s="93" t="str">
        <f aca="false">IFERROR(INDEX(Entregables!$K$5:$K$9,MATCH(2,Entregables!$AG$5:$AG$9,0)),"")</f>
        <v/>
      </c>
      <c r="I45" s="91" t="str">
        <f aca="false">IFERROR(IF(INDEX(Entregables!$M$5:$M$9,MATCH(2,Entregables!$AG$5:$AG$9,0))="","",INDEX(Entregables!$M$5:$M$9,MATCH(2,Entregables!$AG$5:$AG$9,0))),"")</f>
        <v/>
      </c>
    </row>
    <row r="46" customFormat="false" ht="19.5" hidden="false" customHeight="true" outlineLevel="0" collapsed="false">
      <c r="B46" s="89" t="str">
        <f aca="false">IFERROR(INDEX(Entregables!$D$5:$D$9,MATCH(3,Entregables!$AG$5:$AG$9,0)),"")</f>
        <v/>
      </c>
      <c r="C46" s="90" t="str">
        <f aca="false">IFERROR(INDEX(Entregables!$E$5:$E$9,MATCH(3,Entregables!$AG$5:$AG$9,0)),"")</f>
        <v/>
      </c>
      <c r="D46" s="91" t="str">
        <f aca="false">IFERROR(INDEX(Entregables!$H$5:$H$9,MATCH(3,Entregables!$AG$5:$AG$9,0)),"")</f>
        <v/>
      </c>
      <c r="E46" s="92" t="str">
        <f aca="false">IFERROR(INDEX(Entregables!$R$5:$R$9,MATCH(3,Entregables!$AG$5:$AG$9,0)),"")</f>
        <v/>
      </c>
      <c r="F46" s="93" t="str">
        <f aca="false">IFERROR(INDEX(Entregables!$S$5:$S$9,MATCH(3,Entregables!$AG$5:$AG$9,0)),"")</f>
        <v/>
      </c>
      <c r="G46" s="90" t="str">
        <f aca="false">IFERROR(INDEX(Entregables!$T$5:$T$9,MATCH(3,Entregables!$AG$5:$AG$9,0)),"")</f>
        <v/>
      </c>
      <c r="H46" s="93" t="str">
        <f aca="false">IFERROR(INDEX(Entregables!$K$5:$K$9,MATCH(3,Entregables!$AG$5:$AG$9,0)),"")</f>
        <v/>
      </c>
      <c r="I46" s="91" t="str">
        <f aca="false">IFERROR(IF(INDEX(Entregables!$M$5:$M$9,MATCH(3,Entregables!$AG$5:$AG$9,0))="","",INDEX(Entregables!$M$5:$M$9,MATCH(3,Entregables!$AG$5:$AG$9,0))),"")</f>
        <v/>
      </c>
    </row>
    <row r="47" customFormat="false" ht="19.5" hidden="false" customHeight="true" outlineLevel="0" collapsed="false">
      <c r="B47" s="89" t="str">
        <f aca="false">IFERROR(INDEX(Entregables!$D$5:$D$9,MATCH(4,Entregables!$AG$5:$AG$9,0)),"")</f>
        <v/>
      </c>
      <c r="C47" s="90" t="str">
        <f aca="false">IFERROR(INDEX(Entregables!$E$5:$E$9,MATCH(4,Entregables!$AG$5:$AG$9,0)),"")</f>
        <v/>
      </c>
      <c r="D47" s="91" t="str">
        <f aca="false">IFERROR(INDEX(Entregables!$H$5:$H$9,MATCH(4,Entregables!$AG$5:$AG$9,0)),"")</f>
        <v/>
      </c>
      <c r="E47" s="92" t="str">
        <f aca="false">IFERROR(INDEX(Entregables!$R$5:$R$9,MATCH(4,Entregables!$AG$5:$AG$9,0)),"")</f>
        <v/>
      </c>
      <c r="F47" s="93" t="str">
        <f aca="false">IFERROR(INDEX(Entregables!$S$5:$S$9,MATCH(4,Entregables!$AG$5:$AG$9,0)),"")</f>
        <v/>
      </c>
      <c r="G47" s="90" t="str">
        <f aca="false">IFERROR(INDEX(Entregables!$T$5:$T$9,MATCH(4,Entregables!$AG$5:$AG$9,0)),"")</f>
        <v/>
      </c>
      <c r="H47" s="93" t="str">
        <f aca="false">IFERROR(INDEX(Entregables!$K$5:$K$9,MATCH(4,Entregables!$AG$5:$AG$9,0)),"")</f>
        <v/>
      </c>
      <c r="I47" s="91" t="str">
        <f aca="false">IFERROR(IF(INDEX(Entregables!$M$5:$M$9,MATCH(4,Entregables!$AG$5:$AG$9,0))="","",INDEX(Entregables!$M$5:$M$9,MATCH(4,Entregables!$AG$5:$AG$9,0))),"")</f>
        <v/>
      </c>
    </row>
    <row r="48" customFormat="false" ht="19.5" hidden="false" customHeight="true" outlineLevel="0" collapsed="false">
      <c r="B48" s="89" t="str">
        <f aca="false">IFERROR(INDEX(Entregables!$D$5:$D$9,MATCH(5,Entregables!$AG$5:$AG$9,0)),"")</f>
        <v/>
      </c>
      <c r="C48" s="90" t="str">
        <f aca="false">IFERROR(INDEX(Entregables!$E$5:$E$9,MATCH(5,Entregables!$AG$5:$AG$9,0)),"")</f>
        <v/>
      </c>
      <c r="D48" s="91" t="str">
        <f aca="false">IFERROR(INDEX(Entregables!$H$5:$H$9,MATCH(5,Entregables!$AG$5:$AG$9,0)),"")</f>
        <v/>
      </c>
      <c r="E48" s="92" t="str">
        <f aca="false">IFERROR(INDEX(Entregables!$R$5:$R$9,MATCH(5,Entregables!$AG$5:$AG$9,0)),"")</f>
        <v/>
      </c>
      <c r="F48" s="93" t="str">
        <f aca="false">IFERROR(INDEX(Entregables!$S$5:$S$9,MATCH(5,Entregables!$AG$5:$AG$9,0)),"")</f>
        <v/>
      </c>
      <c r="G48" s="90" t="str">
        <f aca="false">IFERROR(INDEX(Entregables!$T$5:$T$9,MATCH(5,Entregables!$AG$5:$AG$9,0)),"")</f>
        <v/>
      </c>
      <c r="H48" s="93" t="str">
        <f aca="false">IFERROR(INDEX(Entregables!$K$5:$K$9,MATCH(5,Entregables!$AG$5:$AG$9,0)),"")</f>
        <v/>
      </c>
      <c r="I48" s="91" t="str">
        <f aca="false">IFERROR(IF(INDEX(Entregables!$M$5:$M$9,MATCH(5,Entregables!$AG$5:$AG$9,0))="","",INDEX(Entregables!$M$5:$M$9,MATCH(5,Entregables!$AG$5:$AG$9,0))),"")</f>
        <v/>
      </c>
    </row>
    <row r="50" customFormat="false" ht="21.75" hidden="false" customHeight="true" outlineLevel="0" collapsed="false">
      <c r="B50" s="102" t="str">
        <f aca="false">"PRODUCTOS · OBSERVADO  ("&amp;'Datos gráficos'!$C$31&amp;")"</f>
        <v>PRODUCTOS · OBSERVADO  (0)</v>
      </c>
      <c r="C50" s="102"/>
      <c r="D50" s="102"/>
      <c r="E50" s="102"/>
      <c r="F50" s="102"/>
      <c r="G50" s="102"/>
      <c r="H50" s="103" t="s">
        <v>175</v>
      </c>
      <c r="I50" s="103" t="s">
        <v>176</v>
      </c>
    </row>
    <row r="51" customFormat="false" ht="24" hidden="false" customHeight="true" outlineLevel="0" collapsed="false">
      <c r="B51" s="36" t="s">
        <v>32</v>
      </c>
      <c r="C51" s="36" t="s">
        <v>33</v>
      </c>
      <c r="D51" s="36" t="s">
        <v>34</v>
      </c>
      <c r="E51" s="36" t="s">
        <v>35</v>
      </c>
      <c r="F51" s="36" t="s">
        <v>36</v>
      </c>
      <c r="G51" s="36" t="s">
        <v>37</v>
      </c>
      <c r="H51" s="36" t="s">
        <v>73</v>
      </c>
      <c r="I51" s="36" t="s">
        <v>177</v>
      </c>
    </row>
    <row r="52" customFormat="false" ht="19.5" hidden="false" customHeight="true" outlineLevel="0" collapsed="false">
      <c r="B52" s="89" t="str">
        <f aca="false">IFERROR(INDEX(Entregables!$D$5:$D$9,MATCH(1,Entregables!$AH$5:$AH$9,0)),"Ningún producto en este estado.")</f>
        <v>Ningún producto en este estado.</v>
      </c>
      <c r="C52" s="90" t="str">
        <f aca="false">IFERROR(INDEX(Entregables!$E$5:$E$9,MATCH(1,Entregables!$AH$5:$AH$9,0)),"")</f>
        <v/>
      </c>
      <c r="D52" s="91" t="str">
        <f aca="false">IFERROR(INDEX(Entregables!$H$5:$H$9,MATCH(1,Entregables!$AH$5:$AH$9,0)),"")</f>
        <v/>
      </c>
      <c r="E52" s="92" t="str">
        <f aca="false">IFERROR(INDEX(Entregables!$R$5:$R$9,MATCH(1,Entregables!$AH$5:$AH$9,0)),"")</f>
        <v/>
      </c>
      <c r="F52" s="93" t="str">
        <f aca="false">IFERROR(INDEX(Entregables!$S$5:$S$9,MATCH(1,Entregables!$AH$5:$AH$9,0)),"")</f>
        <v/>
      </c>
      <c r="G52" s="90" t="str">
        <f aca="false">IFERROR(INDEX(Entregables!$T$5:$T$9,MATCH(1,Entregables!$AH$5:$AH$9,0)),"")</f>
        <v/>
      </c>
      <c r="H52" s="93" t="str">
        <f aca="false">IFERROR(INDEX(Entregables!$K$5:$K$9,MATCH(1,Entregables!$AH$5:$AH$9,0)),"")</f>
        <v/>
      </c>
      <c r="I52" s="91" t="str">
        <f aca="false">IFERROR(IF(INDEX(Entregables!$M$5:$M$9,MATCH(1,Entregables!$AH$5:$AH$9,0))="","",INDEX(Entregables!$M$5:$M$9,MATCH(1,Entregables!$AH$5:$AH$9,0))),"")</f>
        <v/>
      </c>
    </row>
    <row r="53" customFormat="false" ht="19.5" hidden="false" customHeight="true" outlineLevel="0" collapsed="false">
      <c r="B53" s="89" t="str">
        <f aca="false">IFERROR(INDEX(Entregables!$D$5:$D$9,MATCH(2,Entregables!$AH$5:$AH$9,0)),"")</f>
        <v/>
      </c>
      <c r="C53" s="90" t="str">
        <f aca="false">IFERROR(INDEX(Entregables!$E$5:$E$9,MATCH(2,Entregables!$AH$5:$AH$9,0)),"")</f>
        <v/>
      </c>
      <c r="D53" s="91" t="str">
        <f aca="false">IFERROR(INDEX(Entregables!$H$5:$H$9,MATCH(2,Entregables!$AH$5:$AH$9,0)),"")</f>
        <v/>
      </c>
      <c r="E53" s="92" t="str">
        <f aca="false">IFERROR(INDEX(Entregables!$R$5:$R$9,MATCH(2,Entregables!$AH$5:$AH$9,0)),"")</f>
        <v/>
      </c>
      <c r="F53" s="93" t="str">
        <f aca="false">IFERROR(INDEX(Entregables!$S$5:$S$9,MATCH(2,Entregables!$AH$5:$AH$9,0)),"")</f>
        <v/>
      </c>
      <c r="G53" s="90" t="str">
        <f aca="false">IFERROR(INDEX(Entregables!$T$5:$T$9,MATCH(2,Entregables!$AH$5:$AH$9,0)),"")</f>
        <v/>
      </c>
      <c r="H53" s="93" t="str">
        <f aca="false">IFERROR(INDEX(Entregables!$K$5:$K$9,MATCH(2,Entregables!$AH$5:$AH$9,0)),"")</f>
        <v/>
      </c>
      <c r="I53" s="91" t="str">
        <f aca="false">IFERROR(IF(INDEX(Entregables!$M$5:$M$9,MATCH(2,Entregables!$AH$5:$AH$9,0))="","",INDEX(Entregables!$M$5:$M$9,MATCH(2,Entregables!$AH$5:$AH$9,0))),"")</f>
        <v/>
      </c>
    </row>
    <row r="54" customFormat="false" ht="19.5" hidden="false" customHeight="true" outlineLevel="0" collapsed="false">
      <c r="B54" s="89" t="str">
        <f aca="false">IFERROR(INDEX(Entregables!$D$5:$D$9,MATCH(3,Entregables!$AH$5:$AH$9,0)),"")</f>
        <v/>
      </c>
      <c r="C54" s="90" t="str">
        <f aca="false">IFERROR(INDEX(Entregables!$E$5:$E$9,MATCH(3,Entregables!$AH$5:$AH$9,0)),"")</f>
        <v/>
      </c>
      <c r="D54" s="91" t="str">
        <f aca="false">IFERROR(INDEX(Entregables!$H$5:$H$9,MATCH(3,Entregables!$AH$5:$AH$9,0)),"")</f>
        <v/>
      </c>
      <c r="E54" s="92" t="str">
        <f aca="false">IFERROR(INDEX(Entregables!$R$5:$R$9,MATCH(3,Entregables!$AH$5:$AH$9,0)),"")</f>
        <v/>
      </c>
      <c r="F54" s="93" t="str">
        <f aca="false">IFERROR(INDEX(Entregables!$S$5:$S$9,MATCH(3,Entregables!$AH$5:$AH$9,0)),"")</f>
        <v/>
      </c>
      <c r="G54" s="90" t="str">
        <f aca="false">IFERROR(INDEX(Entregables!$T$5:$T$9,MATCH(3,Entregables!$AH$5:$AH$9,0)),"")</f>
        <v/>
      </c>
      <c r="H54" s="93" t="str">
        <f aca="false">IFERROR(INDEX(Entregables!$K$5:$K$9,MATCH(3,Entregables!$AH$5:$AH$9,0)),"")</f>
        <v/>
      </c>
      <c r="I54" s="91" t="str">
        <f aca="false">IFERROR(IF(INDEX(Entregables!$M$5:$M$9,MATCH(3,Entregables!$AH$5:$AH$9,0))="","",INDEX(Entregables!$M$5:$M$9,MATCH(3,Entregables!$AH$5:$AH$9,0))),"")</f>
        <v/>
      </c>
    </row>
    <row r="55" customFormat="false" ht="19.5" hidden="false" customHeight="true" outlineLevel="0" collapsed="false">
      <c r="B55" s="89" t="str">
        <f aca="false">IFERROR(INDEX(Entregables!$D$5:$D$9,MATCH(4,Entregables!$AH$5:$AH$9,0)),"")</f>
        <v/>
      </c>
      <c r="C55" s="90" t="str">
        <f aca="false">IFERROR(INDEX(Entregables!$E$5:$E$9,MATCH(4,Entregables!$AH$5:$AH$9,0)),"")</f>
        <v/>
      </c>
      <c r="D55" s="91" t="str">
        <f aca="false">IFERROR(INDEX(Entregables!$H$5:$H$9,MATCH(4,Entregables!$AH$5:$AH$9,0)),"")</f>
        <v/>
      </c>
      <c r="E55" s="92" t="str">
        <f aca="false">IFERROR(INDEX(Entregables!$R$5:$R$9,MATCH(4,Entregables!$AH$5:$AH$9,0)),"")</f>
        <v/>
      </c>
      <c r="F55" s="93" t="str">
        <f aca="false">IFERROR(INDEX(Entregables!$S$5:$S$9,MATCH(4,Entregables!$AH$5:$AH$9,0)),"")</f>
        <v/>
      </c>
      <c r="G55" s="90" t="str">
        <f aca="false">IFERROR(INDEX(Entregables!$T$5:$T$9,MATCH(4,Entregables!$AH$5:$AH$9,0)),"")</f>
        <v/>
      </c>
      <c r="H55" s="93" t="str">
        <f aca="false">IFERROR(INDEX(Entregables!$K$5:$K$9,MATCH(4,Entregables!$AH$5:$AH$9,0)),"")</f>
        <v/>
      </c>
      <c r="I55" s="91" t="str">
        <f aca="false">IFERROR(IF(INDEX(Entregables!$M$5:$M$9,MATCH(4,Entregables!$AH$5:$AH$9,0))="","",INDEX(Entregables!$M$5:$M$9,MATCH(4,Entregables!$AH$5:$AH$9,0))),"")</f>
        <v/>
      </c>
    </row>
    <row r="56" customFormat="false" ht="19.5" hidden="false" customHeight="true" outlineLevel="0" collapsed="false">
      <c r="B56" s="89" t="str">
        <f aca="false">IFERROR(INDEX(Entregables!$D$5:$D$9,MATCH(5,Entregables!$AH$5:$AH$9,0)),"")</f>
        <v/>
      </c>
      <c r="C56" s="90" t="str">
        <f aca="false">IFERROR(INDEX(Entregables!$E$5:$E$9,MATCH(5,Entregables!$AH$5:$AH$9,0)),"")</f>
        <v/>
      </c>
      <c r="D56" s="91" t="str">
        <f aca="false">IFERROR(INDEX(Entregables!$H$5:$H$9,MATCH(5,Entregables!$AH$5:$AH$9,0)),"")</f>
        <v/>
      </c>
      <c r="E56" s="92" t="str">
        <f aca="false">IFERROR(INDEX(Entregables!$R$5:$R$9,MATCH(5,Entregables!$AH$5:$AH$9,0)),"")</f>
        <v/>
      </c>
      <c r="F56" s="93" t="str">
        <f aca="false">IFERROR(INDEX(Entregables!$S$5:$S$9,MATCH(5,Entregables!$AH$5:$AH$9,0)),"")</f>
        <v/>
      </c>
      <c r="G56" s="90" t="str">
        <f aca="false">IFERROR(INDEX(Entregables!$T$5:$T$9,MATCH(5,Entregables!$AH$5:$AH$9,0)),"")</f>
        <v/>
      </c>
      <c r="H56" s="93" t="str">
        <f aca="false">IFERROR(INDEX(Entregables!$K$5:$K$9,MATCH(5,Entregables!$AH$5:$AH$9,0)),"")</f>
        <v/>
      </c>
      <c r="I56" s="91" t="str">
        <f aca="false">IFERROR(IF(INDEX(Entregables!$M$5:$M$9,MATCH(5,Entregables!$AH$5:$AH$9,0))="","",INDEX(Entregables!$M$5:$M$9,MATCH(5,Entregables!$AH$5:$AH$9,0))),"")</f>
        <v/>
      </c>
    </row>
    <row r="58" customFormat="false" ht="21.75" hidden="false" customHeight="true" outlineLevel="0" collapsed="false">
      <c r="B58" s="104" t="str">
        <f aca="false">"PRODUCTOS · APROBADO  ("&amp;'Datos gráficos'!$C$32&amp;")"</f>
        <v>PRODUCTOS · APROBADO  (0)</v>
      </c>
      <c r="C58" s="104"/>
      <c r="D58" s="104"/>
      <c r="E58" s="104"/>
      <c r="F58" s="104"/>
      <c r="G58" s="104"/>
      <c r="H58" s="105" t="s">
        <v>175</v>
      </c>
      <c r="I58" s="105" t="s">
        <v>176</v>
      </c>
    </row>
    <row r="59" customFormat="false" ht="24" hidden="false" customHeight="true" outlineLevel="0" collapsed="false">
      <c r="B59" s="36" t="s">
        <v>32</v>
      </c>
      <c r="C59" s="36" t="s">
        <v>33</v>
      </c>
      <c r="D59" s="36" t="s">
        <v>34</v>
      </c>
      <c r="E59" s="36" t="s">
        <v>35</v>
      </c>
      <c r="F59" s="36" t="s">
        <v>36</v>
      </c>
      <c r="G59" s="36" t="s">
        <v>37</v>
      </c>
      <c r="H59" s="36" t="s">
        <v>73</v>
      </c>
      <c r="I59" s="36" t="s">
        <v>177</v>
      </c>
    </row>
    <row r="60" customFormat="false" ht="19.5" hidden="false" customHeight="true" outlineLevel="0" collapsed="false">
      <c r="B60" s="89" t="str">
        <f aca="false">IFERROR(INDEX(Entregables!$D$5:$D$9,MATCH(1,Entregables!$AI$5:$AI$9,0)),"Ningún producto en este estado.")</f>
        <v>Ningún producto en este estado.</v>
      </c>
      <c r="C60" s="90" t="str">
        <f aca="false">IFERROR(INDEX(Entregables!$E$5:$E$9,MATCH(1,Entregables!$AI$5:$AI$9,0)),"")</f>
        <v/>
      </c>
      <c r="D60" s="91" t="str">
        <f aca="false">IFERROR(INDEX(Entregables!$H$5:$H$9,MATCH(1,Entregables!$AI$5:$AI$9,0)),"")</f>
        <v/>
      </c>
      <c r="E60" s="92" t="str">
        <f aca="false">IFERROR(INDEX(Entregables!$R$5:$R$9,MATCH(1,Entregables!$AI$5:$AI$9,0)),"")</f>
        <v/>
      </c>
      <c r="F60" s="93" t="str">
        <f aca="false">IFERROR(INDEX(Entregables!$S$5:$S$9,MATCH(1,Entregables!$AI$5:$AI$9,0)),"")</f>
        <v/>
      </c>
      <c r="G60" s="90" t="str">
        <f aca="false">IFERROR(INDEX(Entregables!$T$5:$T$9,MATCH(1,Entregables!$AI$5:$AI$9,0)),"")</f>
        <v/>
      </c>
      <c r="H60" s="93" t="str">
        <f aca="false">IFERROR(INDEX(Entregables!$K$5:$K$9,MATCH(1,Entregables!$AI$5:$AI$9,0)),"")</f>
        <v/>
      </c>
      <c r="I60" s="91" t="str">
        <f aca="false">IFERROR(IF(INDEX(Entregables!$M$5:$M$9,MATCH(1,Entregables!$AI$5:$AI$9,0))="","",INDEX(Entregables!$M$5:$M$9,MATCH(1,Entregables!$AI$5:$AI$9,0))),"")</f>
        <v/>
      </c>
    </row>
    <row r="61" customFormat="false" ht="19.5" hidden="false" customHeight="true" outlineLevel="0" collapsed="false">
      <c r="B61" s="89" t="str">
        <f aca="false">IFERROR(INDEX(Entregables!$D$5:$D$9,MATCH(2,Entregables!$AI$5:$AI$9,0)),"")</f>
        <v/>
      </c>
      <c r="C61" s="90" t="str">
        <f aca="false">IFERROR(INDEX(Entregables!$E$5:$E$9,MATCH(2,Entregables!$AI$5:$AI$9,0)),"")</f>
        <v/>
      </c>
      <c r="D61" s="91" t="str">
        <f aca="false">IFERROR(INDEX(Entregables!$H$5:$H$9,MATCH(2,Entregables!$AI$5:$AI$9,0)),"")</f>
        <v/>
      </c>
      <c r="E61" s="92" t="str">
        <f aca="false">IFERROR(INDEX(Entregables!$R$5:$R$9,MATCH(2,Entregables!$AI$5:$AI$9,0)),"")</f>
        <v/>
      </c>
      <c r="F61" s="93" t="str">
        <f aca="false">IFERROR(INDEX(Entregables!$S$5:$S$9,MATCH(2,Entregables!$AI$5:$AI$9,0)),"")</f>
        <v/>
      </c>
      <c r="G61" s="90" t="str">
        <f aca="false">IFERROR(INDEX(Entregables!$T$5:$T$9,MATCH(2,Entregables!$AI$5:$AI$9,0)),"")</f>
        <v/>
      </c>
      <c r="H61" s="93" t="str">
        <f aca="false">IFERROR(INDEX(Entregables!$K$5:$K$9,MATCH(2,Entregables!$AI$5:$AI$9,0)),"")</f>
        <v/>
      </c>
      <c r="I61" s="91" t="str">
        <f aca="false">IFERROR(IF(INDEX(Entregables!$M$5:$M$9,MATCH(2,Entregables!$AI$5:$AI$9,0))="","",INDEX(Entregables!$M$5:$M$9,MATCH(2,Entregables!$AI$5:$AI$9,0))),"")</f>
        <v/>
      </c>
    </row>
    <row r="62" customFormat="false" ht="19.5" hidden="false" customHeight="true" outlineLevel="0" collapsed="false">
      <c r="B62" s="89" t="str">
        <f aca="false">IFERROR(INDEX(Entregables!$D$5:$D$9,MATCH(3,Entregables!$AI$5:$AI$9,0)),"")</f>
        <v/>
      </c>
      <c r="C62" s="90" t="str">
        <f aca="false">IFERROR(INDEX(Entregables!$E$5:$E$9,MATCH(3,Entregables!$AI$5:$AI$9,0)),"")</f>
        <v/>
      </c>
      <c r="D62" s="91" t="str">
        <f aca="false">IFERROR(INDEX(Entregables!$H$5:$H$9,MATCH(3,Entregables!$AI$5:$AI$9,0)),"")</f>
        <v/>
      </c>
      <c r="E62" s="92" t="str">
        <f aca="false">IFERROR(INDEX(Entregables!$R$5:$R$9,MATCH(3,Entregables!$AI$5:$AI$9,0)),"")</f>
        <v/>
      </c>
      <c r="F62" s="93" t="str">
        <f aca="false">IFERROR(INDEX(Entregables!$S$5:$S$9,MATCH(3,Entregables!$AI$5:$AI$9,0)),"")</f>
        <v/>
      </c>
      <c r="G62" s="90" t="str">
        <f aca="false">IFERROR(INDEX(Entregables!$T$5:$T$9,MATCH(3,Entregables!$AI$5:$AI$9,0)),"")</f>
        <v/>
      </c>
      <c r="H62" s="93" t="str">
        <f aca="false">IFERROR(INDEX(Entregables!$K$5:$K$9,MATCH(3,Entregables!$AI$5:$AI$9,0)),"")</f>
        <v/>
      </c>
      <c r="I62" s="91" t="str">
        <f aca="false">IFERROR(IF(INDEX(Entregables!$M$5:$M$9,MATCH(3,Entregables!$AI$5:$AI$9,0))="","",INDEX(Entregables!$M$5:$M$9,MATCH(3,Entregables!$AI$5:$AI$9,0))),"")</f>
        <v/>
      </c>
    </row>
    <row r="63" customFormat="false" ht="19.5" hidden="false" customHeight="true" outlineLevel="0" collapsed="false">
      <c r="B63" s="89" t="str">
        <f aca="false">IFERROR(INDEX(Entregables!$D$5:$D$9,MATCH(4,Entregables!$AI$5:$AI$9,0)),"")</f>
        <v/>
      </c>
      <c r="C63" s="90" t="str">
        <f aca="false">IFERROR(INDEX(Entregables!$E$5:$E$9,MATCH(4,Entregables!$AI$5:$AI$9,0)),"")</f>
        <v/>
      </c>
      <c r="D63" s="91" t="str">
        <f aca="false">IFERROR(INDEX(Entregables!$H$5:$H$9,MATCH(4,Entregables!$AI$5:$AI$9,0)),"")</f>
        <v/>
      </c>
      <c r="E63" s="92" t="str">
        <f aca="false">IFERROR(INDEX(Entregables!$R$5:$R$9,MATCH(4,Entregables!$AI$5:$AI$9,0)),"")</f>
        <v/>
      </c>
      <c r="F63" s="93" t="str">
        <f aca="false">IFERROR(INDEX(Entregables!$S$5:$S$9,MATCH(4,Entregables!$AI$5:$AI$9,0)),"")</f>
        <v/>
      </c>
      <c r="G63" s="90" t="str">
        <f aca="false">IFERROR(INDEX(Entregables!$T$5:$T$9,MATCH(4,Entregables!$AI$5:$AI$9,0)),"")</f>
        <v/>
      </c>
      <c r="H63" s="93" t="str">
        <f aca="false">IFERROR(INDEX(Entregables!$K$5:$K$9,MATCH(4,Entregables!$AI$5:$AI$9,0)),"")</f>
        <v/>
      </c>
      <c r="I63" s="91" t="str">
        <f aca="false">IFERROR(IF(INDEX(Entregables!$M$5:$M$9,MATCH(4,Entregables!$AI$5:$AI$9,0))="","",INDEX(Entregables!$M$5:$M$9,MATCH(4,Entregables!$AI$5:$AI$9,0))),"")</f>
        <v/>
      </c>
    </row>
    <row r="64" customFormat="false" ht="19.5" hidden="false" customHeight="true" outlineLevel="0" collapsed="false">
      <c r="B64" s="89" t="str">
        <f aca="false">IFERROR(INDEX(Entregables!$D$5:$D$9,MATCH(5,Entregables!$AI$5:$AI$9,0)),"")</f>
        <v/>
      </c>
      <c r="C64" s="90" t="str">
        <f aca="false">IFERROR(INDEX(Entregables!$E$5:$E$9,MATCH(5,Entregables!$AI$5:$AI$9,0)),"")</f>
        <v/>
      </c>
      <c r="D64" s="91" t="str">
        <f aca="false">IFERROR(INDEX(Entregables!$H$5:$H$9,MATCH(5,Entregables!$AI$5:$AI$9,0)),"")</f>
        <v/>
      </c>
      <c r="E64" s="92" t="str">
        <f aca="false">IFERROR(INDEX(Entregables!$R$5:$R$9,MATCH(5,Entregables!$AI$5:$AI$9,0)),"")</f>
        <v/>
      </c>
      <c r="F64" s="93" t="str">
        <f aca="false">IFERROR(INDEX(Entregables!$S$5:$S$9,MATCH(5,Entregables!$AI$5:$AI$9,0)),"")</f>
        <v/>
      </c>
      <c r="G64" s="90" t="str">
        <f aca="false">IFERROR(INDEX(Entregables!$T$5:$T$9,MATCH(5,Entregables!$AI$5:$AI$9,0)),"")</f>
        <v/>
      </c>
      <c r="H64" s="93" t="str">
        <f aca="false">IFERROR(INDEX(Entregables!$K$5:$K$9,MATCH(5,Entregables!$AI$5:$AI$9,0)),"")</f>
        <v/>
      </c>
      <c r="I64" s="91" t="str">
        <f aca="false">IFERROR(IF(INDEX(Entregables!$M$5:$M$9,MATCH(5,Entregables!$AI$5:$AI$9,0))="","",INDEX(Entregables!$M$5:$M$9,MATCH(5,Entregables!$AI$5:$AI$9,0))),"")</f>
        <v/>
      </c>
    </row>
    <row r="66" customFormat="false" ht="21.75" hidden="false" customHeight="true" outlineLevel="0" collapsed="false">
      <c r="B66" s="87" t="str">
        <f aca="false">"DESEMBOLSOS · TODOS LOS DESEMBOLSOS  ("&amp;4&amp;")"</f>
        <v>DESEMBOLSOS · TODOS LOS DESEMBOLSOS  (4)</v>
      </c>
      <c r="C66" s="87"/>
      <c r="D66" s="87"/>
      <c r="E66" s="87"/>
      <c r="F66" s="87"/>
      <c r="G66" s="87"/>
      <c r="H66" s="88" t="s">
        <v>175</v>
      </c>
      <c r="I66" s="88" t="s">
        <v>176</v>
      </c>
    </row>
    <row r="67" customFormat="false" ht="24" hidden="false" customHeight="true" outlineLevel="0" collapsed="false">
      <c r="B67" s="36" t="s">
        <v>73</v>
      </c>
      <c r="C67" s="36" t="s">
        <v>41</v>
      </c>
      <c r="D67" s="36" t="s">
        <v>40</v>
      </c>
      <c r="E67" s="36" t="s">
        <v>178</v>
      </c>
      <c r="F67" s="36" t="s">
        <v>36</v>
      </c>
      <c r="G67" s="36" t="s">
        <v>45</v>
      </c>
      <c r="H67" s="36" t="s">
        <v>46</v>
      </c>
      <c r="I67" s="36" t="s">
        <v>179</v>
      </c>
    </row>
    <row r="68" customFormat="false" ht="33.75" hidden="false" customHeight="true" outlineLevel="0" collapsed="false">
      <c r="B68" s="89" t="str">
        <f aca="false">IFERROR(INDEX(Desembolsos!$A$5:$A$8,MATCH(1,Desembolsos!$AB$5:$AB$8,0)),"")</f>
        <v>D1</v>
      </c>
      <c r="C68" s="90" t="str">
        <f aca="false">IFERROR(INDEX(Desembolsos!$G$5:$G$8,MATCH(1,Desembolsos!$AB$5:$AB$8,0)),"")</f>
        <v>Producto 1</v>
      </c>
      <c r="D68" s="106" t="n">
        <f aca="false">IFERROR(INDEX(Desembolsos!$B$5:$B$8,MATCH(1,Desembolsos!$AB$5:$AB$8,0)),"")</f>
        <v>141375</v>
      </c>
      <c r="E68" s="107" t="n">
        <f aca="false">IFERROR(INDEX(Desembolsos!$C$5:$C$8,MATCH(1,Desembolsos!$AB$5:$AB$8,0)),"")</f>
        <v>0.3</v>
      </c>
      <c r="F68" s="93" t="str">
        <f aca="false">IFERROR(INDEX(Desembolsos!$T$5:$T$8,MATCH(1,Desembolsos!$AB$5:$AB$8,0)),"")</f>
        <v>En conformidad</v>
      </c>
      <c r="G68" s="90" t="str">
        <f aca="false">IFERROR(INDEX(Desembolsos!$U$5:$U$8,MATCH(1,Desembolsos!$AB$5:$AB$8,0)),"")</f>
        <v>Conseguir la opinión técnica del Componente 2 y las conformidades del Coordinador y de FAO</v>
      </c>
      <c r="H68" s="91" t="str">
        <f aca="false">IFERROR(IF(INDEX(Desembolsos!$P$5:$P$8,MATCH(1,Desembolsos!$AB$5:$AB$8,0))="","",INDEX(Desembolsos!$P$5:$P$8,MATCH(1,Desembolsos!$AB$5:$AB$8,0))),"")</f>
        <v/>
      </c>
      <c r="I68" s="106" t="n">
        <f aca="false">IFERROR(INDEX(Desembolsos!$S$5:$S$8,MATCH(1,Desembolsos!$AB$5:$AB$8,0)),"")</f>
        <v>0</v>
      </c>
    </row>
    <row r="69" customFormat="false" ht="33.75" hidden="false" customHeight="true" outlineLevel="0" collapsed="false">
      <c r="B69" s="89" t="str">
        <f aca="false">IFERROR(INDEX(Desembolsos!$A$5:$A$8,MATCH(2,Desembolsos!$AB$5:$AB$8,0)),"")</f>
        <v>D2</v>
      </c>
      <c r="C69" s="90" t="str">
        <f aca="false">IFERROR(INDEX(Desembolsos!$G$5:$G$8,MATCH(2,Desembolsos!$AB$5:$AB$8,0)),"")</f>
        <v>Producto 2 (Parte I y Parte II)</v>
      </c>
      <c r="D69" s="106" t="n">
        <f aca="false">IFERROR(INDEX(Desembolsos!$B$5:$B$8,MATCH(2,Desembolsos!$AB$5:$AB$8,0)),"")</f>
        <v>141375</v>
      </c>
      <c r="E69" s="107" t="n">
        <f aca="false">IFERROR(INDEX(Desembolsos!$C$5:$C$8,MATCH(2,Desembolsos!$AB$5:$AB$8,0)),"")</f>
        <v>0.3</v>
      </c>
      <c r="F69" s="93" t="str">
        <f aca="false">IFERROR(INDEX(Desembolsos!$T$5:$T$8,MATCH(2,Desembolsos!$AB$5:$AB$8,0)),"")</f>
        <v>Pendiente de producto</v>
      </c>
      <c r="G69" s="90" t="str">
        <f aca="false">IFERROR(INDEX(Desembolsos!$U$5:$U$8,MATCH(2,Desembolsos!$AB$5:$AB$8,0)),"")</f>
        <v>Presentar Producto 2 (Parte I y Parte II) (vence el 30/06/2026)</v>
      </c>
      <c r="H69" s="91" t="str">
        <f aca="false">IFERROR(IF(INDEX(Desembolsos!$P$5:$P$8,MATCH(2,Desembolsos!$AB$5:$AB$8,0))="","",INDEX(Desembolsos!$P$5:$P$8,MATCH(2,Desembolsos!$AB$5:$AB$8,0))),"")</f>
        <v/>
      </c>
      <c r="I69" s="106" t="n">
        <f aca="false">IFERROR(INDEX(Desembolsos!$S$5:$S$8,MATCH(2,Desembolsos!$AB$5:$AB$8,0)),"")</f>
        <v>0</v>
      </c>
    </row>
    <row r="70" customFormat="false" ht="33.75" hidden="false" customHeight="true" outlineLevel="0" collapsed="false">
      <c r="B70" s="89" t="str">
        <f aca="false">IFERROR(INDEX(Desembolsos!$A$5:$A$8,MATCH(3,Desembolsos!$AB$5:$AB$8,0)),"")</f>
        <v>D3</v>
      </c>
      <c r="C70" s="90" t="str">
        <f aca="false">IFERROR(INDEX(Desembolsos!$G$5:$G$8,MATCH(3,Desembolsos!$AB$5:$AB$8,0)),"")</f>
        <v>Producto 3</v>
      </c>
      <c r="D70" s="106" t="n">
        <f aca="false">IFERROR(INDEX(Desembolsos!$B$5:$B$8,MATCH(3,Desembolsos!$AB$5:$AB$8,0)),"")</f>
        <v>117812</v>
      </c>
      <c r="E70" s="107" t="n">
        <f aca="false">IFERROR(INDEX(Desembolsos!$C$5:$C$8,MATCH(3,Desembolsos!$AB$5:$AB$8,0)),"")</f>
        <v>0.249998938992042</v>
      </c>
      <c r="F70" s="93" t="str">
        <f aca="false">IFERROR(INDEX(Desembolsos!$T$5:$T$8,MATCH(3,Desembolsos!$AB$5:$AB$8,0)),"")</f>
        <v>Pendiente de producto</v>
      </c>
      <c r="G70" s="90" t="str">
        <f aca="false">IFERROR(INDEX(Desembolsos!$U$5:$U$8,MATCH(3,Desembolsos!$AB$5:$AB$8,0)),"")</f>
        <v>Presentar Producto 3 (vence el 18/12/2026)</v>
      </c>
      <c r="H70" s="91" t="str">
        <f aca="false">IFERROR(IF(INDEX(Desembolsos!$P$5:$P$8,MATCH(3,Desembolsos!$AB$5:$AB$8,0))="","",INDEX(Desembolsos!$P$5:$P$8,MATCH(3,Desembolsos!$AB$5:$AB$8,0))),"")</f>
        <v/>
      </c>
      <c r="I70" s="106" t="n">
        <f aca="false">IFERROR(INDEX(Desembolsos!$S$5:$S$8,MATCH(3,Desembolsos!$AB$5:$AB$8,0)),"")</f>
        <v>0</v>
      </c>
    </row>
    <row r="71" customFormat="false" ht="33.75" hidden="false" customHeight="true" outlineLevel="0" collapsed="false">
      <c r="B71" s="89" t="str">
        <f aca="false">IFERROR(INDEX(Desembolsos!$A$5:$A$8,MATCH(4,Desembolsos!$AB$5:$AB$8,0)),"")</f>
        <v>D4</v>
      </c>
      <c r="C71" s="90" t="str">
        <f aca="false">IFERROR(INDEX(Desembolsos!$G$5:$G$8,MATCH(4,Desembolsos!$AB$5:$AB$8,0)),"")</f>
        <v>Producto 4</v>
      </c>
      <c r="D71" s="106" t="n">
        <f aca="false">IFERROR(INDEX(Desembolsos!$B$5:$B$8,MATCH(4,Desembolsos!$AB$5:$AB$8,0)),"")</f>
        <v>70688</v>
      </c>
      <c r="E71" s="107" t="n">
        <f aca="false">IFERROR(INDEX(Desembolsos!$C$5:$C$8,MATCH(4,Desembolsos!$AB$5:$AB$8,0)),"")</f>
        <v>0.150001061007958</v>
      </c>
      <c r="F71" s="93" t="str">
        <f aca="false">IFERROR(INDEX(Desembolsos!$T$5:$T$8,MATCH(4,Desembolsos!$AB$5:$AB$8,0)),"")</f>
        <v>Pendiente de producto</v>
      </c>
      <c r="G71" s="90" t="str">
        <f aca="false">IFERROR(INDEX(Desembolsos!$U$5:$U$8,MATCH(4,Desembolsos!$AB$5:$AB$8,0)),"")</f>
        <v>Presentar Producto 4 (vence el 30/04/2027)</v>
      </c>
      <c r="H71" s="91" t="str">
        <f aca="false">IFERROR(IF(INDEX(Desembolsos!$P$5:$P$8,MATCH(4,Desembolsos!$AB$5:$AB$8,0))="","",INDEX(Desembolsos!$P$5:$P$8,MATCH(4,Desembolsos!$AB$5:$AB$8,0))),"")</f>
        <v/>
      </c>
      <c r="I71" s="106" t="n">
        <f aca="false">IFERROR(INDEX(Desembolsos!$S$5:$S$8,MATCH(4,Desembolsos!$AB$5:$AB$8,0)),"")</f>
        <v>0</v>
      </c>
    </row>
    <row r="73" customFormat="false" ht="21.75" hidden="false" customHeight="true" outlineLevel="0" collapsed="false">
      <c r="B73" s="104" t="str">
        <f aca="false">"DESEMBOLSOS · DESEMBOLSADO  ("&amp;'Datos gráficos'!$C$35&amp;")"</f>
        <v>DESEMBOLSOS · DESEMBOLSADO  (0)</v>
      </c>
      <c r="C73" s="104"/>
      <c r="D73" s="104"/>
      <c r="E73" s="104"/>
      <c r="F73" s="104"/>
      <c r="G73" s="104"/>
      <c r="H73" s="105" t="s">
        <v>175</v>
      </c>
      <c r="I73" s="105" t="s">
        <v>176</v>
      </c>
    </row>
    <row r="74" customFormat="false" ht="24" hidden="false" customHeight="true" outlineLevel="0" collapsed="false">
      <c r="B74" s="36" t="s">
        <v>73</v>
      </c>
      <c r="C74" s="36" t="s">
        <v>41</v>
      </c>
      <c r="D74" s="36" t="s">
        <v>40</v>
      </c>
      <c r="E74" s="36" t="s">
        <v>178</v>
      </c>
      <c r="F74" s="36" t="s">
        <v>36</v>
      </c>
      <c r="G74" s="36" t="s">
        <v>45</v>
      </c>
      <c r="H74" s="36" t="s">
        <v>46</v>
      </c>
      <c r="I74" s="36" t="s">
        <v>179</v>
      </c>
    </row>
    <row r="75" customFormat="false" ht="33.75" hidden="false" customHeight="true" outlineLevel="0" collapsed="false">
      <c r="B75" s="89" t="str">
        <f aca="false">IFERROR(INDEX(Desembolsos!$A$5:$A$8,MATCH(1,Desembolsos!$AC$5:$AC$8,0)),"Ningún desembolso en este estado.")</f>
        <v>Ningún desembolso en este estado.</v>
      </c>
      <c r="C75" s="90" t="str">
        <f aca="false">IFERROR(INDEX(Desembolsos!$G$5:$G$8,MATCH(1,Desembolsos!$AC$5:$AC$8,0)),"")</f>
        <v/>
      </c>
      <c r="D75" s="106" t="str">
        <f aca="false">IFERROR(INDEX(Desembolsos!$B$5:$B$8,MATCH(1,Desembolsos!$AC$5:$AC$8,0)),"")</f>
        <v/>
      </c>
      <c r="E75" s="107" t="str">
        <f aca="false">IFERROR(INDEX(Desembolsos!$C$5:$C$8,MATCH(1,Desembolsos!$AC$5:$AC$8,0)),"")</f>
        <v/>
      </c>
      <c r="F75" s="93" t="str">
        <f aca="false">IFERROR(INDEX(Desembolsos!$T$5:$T$8,MATCH(1,Desembolsos!$AC$5:$AC$8,0)),"")</f>
        <v/>
      </c>
      <c r="G75" s="90" t="str">
        <f aca="false">IFERROR(INDEX(Desembolsos!$U$5:$U$8,MATCH(1,Desembolsos!$AC$5:$AC$8,0)),"")</f>
        <v/>
      </c>
      <c r="H75" s="91" t="str">
        <f aca="false">IFERROR(IF(INDEX(Desembolsos!$P$5:$P$8,MATCH(1,Desembolsos!$AC$5:$AC$8,0))="","",INDEX(Desembolsos!$P$5:$P$8,MATCH(1,Desembolsos!$AC$5:$AC$8,0))),"")</f>
        <v/>
      </c>
      <c r="I75" s="106" t="str">
        <f aca="false">IFERROR(INDEX(Desembolsos!$S$5:$S$8,MATCH(1,Desembolsos!$AC$5:$AC$8,0)),"")</f>
        <v/>
      </c>
    </row>
    <row r="76" customFormat="false" ht="33.75" hidden="false" customHeight="true" outlineLevel="0" collapsed="false">
      <c r="B76" s="89" t="str">
        <f aca="false">IFERROR(INDEX(Desembolsos!$A$5:$A$8,MATCH(2,Desembolsos!$AC$5:$AC$8,0)),"")</f>
        <v/>
      </c>
      <c r="C76" s="90" t="str">
        <f aca="false">IFERROR(INDEX(Desembolsos!$G$5:$G$8,MATCH(2,Desembolsos!$AC$5:$AC$8,0)),"")</f>
        <v/>
      </c>
      <c r="D76" s="106" t="str">
        <f aca="false">IFERROR(INDEX(Desembolsos!$B$5:$B$8,MATCH(2,Desembolsos!$AC$5:$AC$8,0)),"")</f>
        <v/>
      </c>
      <c r="E76" s="107" t="str">
        <f aca="false">IFERROR(INDEX(Desembolsos!$C$5:$C$8,MATCH(2,Desembolsos!$AC$5:$AC$8,0)),"")</f>
        <v/>
      </c>
      <c r="F76" s="93" t="str">
        <f aca="false">IFERROR(INDEX(Desembolsos!$T$5:$T$8,MATCH(2,Desembolsos!$AC$5:$AC$8,0)),"")</f>
        <v/>
      </c>
      <c r="G76" s="90" t="str">
        <f aca="false">IFERROR(INDEX(Desembolsos!$U$5:$U$8,MATCH(2,Desembolsos!$AC$5:$AC$8,0)),"")</f>
        <v/>
      </c>
      <c r="H76" s="91" t="str">
        <f aca="false">IFERROR(IF(INDEX(Desembolsos!$P$5:$P$8,MATCH(2,Desembolsos!$AC$5:$AC$8,0))="","",INDEX(Desembolsos!$P$5:$P$8,MATCH(2,Desembolsos!$AC$5:$AC$8,0))),"")</f>
        <v/>
      </c>
      <c r="I76" s="106" t="str">
        <f aca="false">IFERROR(INDEX(Desembolsos!$S$5:$S$8,MATCH(2,Desembolsos!$AC$5:$AC$8,0)),"")</f>
        <v/>
      </c>
    </row>
    <row r="77" customFormat="false" ht="33.75" hidden="false" customHeight="true" outlineLevel="0" collapsed="false">
      <c r="B77" s="89" t="str">
        <f aca="false">IFERROR(INDEX(Desembolsos!$A$5:$A$8,MATCH(3,Desembolsos!$AC$5:$AC$8,0)),"")</f>
        <v/>
      </c>
      <c r="C77" s="90" t="str">
        <f aca="false">IFERROR(INDEX(Desembolsos!$G$5:$G$8,MATCH(3,Desembolsos!$AC$5:$AC$8,0)),"")</f>
        <v/>
      </c>
      <c r="D77" s="106" t="str">
        <f aca="false">IFERROR(INDEX(Desembolsos!$B$5:$B$8,MATCH(3,Desembolsos!$AC$5:$AC$8,0)),"")</f>
        <v/>
      </c>
      <c r="E77" s="107" t="str">
        <f aca="false">IFERROR(INDEX(Desembolsos!$C$5:$C$8,MATCH(3,Desembolsos!$AC$5:$AC$8,0)),"")</f>
        <v/>
      </c>
      <c r="F77" s="93" t="str">
        <f aca="false">IFERROR(INDEX(Desembolsos!$T$5:$T$8,MATCH(3,Desembolsos!$AC$5:$AC$8,0)),"")</f>
        <v/>
      </c>
      <c r="G77" s="90" t="str">
        <f aca="false">IFERROR(INDEX(Desembolsos!$U$5:$U$8,MATCH(3,Desembolsos!$AC$5:$AC$8,0)),"")</f>
        <v/>
      </c>
      <c r="H77" s="91" t="str">
        <f aca="false">IFERROR(IF(INDEX(Desembolsos!$P$5:$P$8,MATCH(3,Desembolsos!$AC$5:$AC$8,0))="","",INDEX(Desembolsos!$P$5:$P$8,MATCH(3,Desembolsos!$AC$5:$AC$8,0))),"")</f>
        <v/>
      </c>
      <c r="I77" s="106" t="str">
        <f aca="false">IFERROR(INDEX(Desembolsos!$S$5:$S$8,MATCH(3,Desembolsos!$AC$5:$AC$8,0)),"")</f>
        <v/>
      </c>
    </row>
    <row r="78" customFormat="false" ht="33.75" hidden="false" customHeight="true" outlineLevel="0" collapsed="false">
      <c r="B78" s="89" t="str">
        <f aca="false">IFERROR(INDEX(Desembolsos!$A$5:$A$8,MATCH(4,Desembolsos!$AC$5:$AC$8,0)),"")</f>
        <v/>
      </c>
      <c r="C78" s="90" t="str">
        <f aca="false">IFERROR(INDEX(Desembolsos!$G$5:$G$8,MATCH(4,Desembolsos!$AC$5:$AC$8,0)),"")</f>
        <v/>
      </c>
      <c r="D78" s="106" t="str">
        <f aca="false">IFERROR(INDEX(Desembolsos!$B$5:$B$8,MATCH(4,Desembolsos!$AC$5:$AC$8,0)),"")</f>
        <v/>
      </c>
      <c r="E78" s="107" t="str">
        <f aca="false">IFERROR(INDEX(Desembolsos!$C$5:$C$8,MATCH(4,Desembolsos!$AC$5:$AC$8,0)),"")</f>
        <v/>
      </c>
      <c r="F78" s="93" t="str">
        <f aca="false">IFERROR(INDEX(Desembolsos!$T$5:$T$8,MATCH(4,Desembolsos!$AC$5:$AC$8,0)),"")</f>
        <v/>
      </c>
      <c r="G78" s="90" t="str">
        <f aca="false">IFERROR(INDEX(Desembolsos!$U$5:$U$8,MATCH(4,Desembolsos!$AC$5:$AC$8,0)),"")</f>
        <v/>
      </c>
      <c r="H78" s="91" t="str">
        <f aca="false">IFERROR(IF(INDEX(Desembolsos!$P$5:$P$8,MATCH(4,Desembolsos!$AC$5:$AC$8,0))="","",INDEX(Desembolsos!$P$5:$P$8,MATCH(4,Desembolsos!$AC$5:$AC$8,0))),"")</f>
        <v/>
      </c>
      <c r="I78" s="106" t="str">
        <f aca="false">IFERROR(INDEX(Desembolsos!$S$5:$S$8,MATCH(4,Desembolsos!$AC$5:$AC$8,0)),"")</f>
        <v/>
      </c>
    </row>
    <row r="80" customFormat="false" ht="21.75" hidden="false" customHeight="true" outlineLevel="0" collapsed="false">
      <c r="B80" s="94" t="str">
        <f aca="false">"DESEMBOLSOS · LISTO PARA SOLICITAR  ("&amp;'Datos gráficos'!$C$36&amp;")"</f>
        <v>DESEMBOLSOS · LISTO PARA SOLICITAR  (0)</v>
      </c>
      <c r="C80" s="94"/>
      <c r="D80" s="94"/>
      <c r="E80" s="94"/>
      <c r="F80" s="94"/>
      <c r="G80" s="94"/>
      <c r="H80" s="95" t="s">
        <v>175</v>
      </c>
      <c r="I80" s="95" t="s">
        <v>176</v>
      </c>
    </row>
    <row r="81" customFormat="false" ht="24" hidden="false" customHeight="true" outlineLevel="0" collapsed="false">
      <c r="B81" s="36" t="s">
        <v>73</v>
      </c>
      <c r="C81" s="36" t="s">
        <v>41</v>
      </c>
      <c r="D81" s="36" t="s">
        <v>40</v>
      </c>
      <c r="E81" s="36" t="s">
        <v>178</v>
      </c>
      <c r="F81" s="36" t="s">
        <v>36</v>
      </c>
      <c r="G81" s="36" t="s">
        <v>45</v>
      </c>
      <c r="H81" s="36" t="s">
        <v>46</v>
      </c>
      <c r="I81" s="36" t="s">
        <v>179</v>
      </c>
    </row>
    <row r="82" customFormat="false" ht="33.75" hidden="false" customHeight="true" outlineLevel="0" collapsed="false">
      <c r="B82" s="89" t="str">
        <f aca="false">IFERROR(INDEX(Desembolsos!$A$5:$A$8,MATCH(1,Desembolsos!$AD$5:$AD$8,0)),"Ningún desembolso en este estado.")</f>
        <v>Ningún desembolso en este estado.</v>
      </c>
      <c r="C82" s="90" t="str">
        <f aca="false">IFERROR(INDEX(Desembolsos!$G$5:$G$8,MATCH(1,Desembolsos!$AD$5:$AD$8,0)),"")</f>
        <v/>
      </c>
      <c r="D82" s="106" t="str">
        <f aca="false">IFERROR(INDEX(Desembolsos!$B$5:$B$8,MATCH(1,Desembolsos!$AD$5:$AD$8,0)),"")</f>
        <v/>
      </c>
      <c r="E82" s="107" t="str">
        <f aca="false">IFERROR(INDEX(Desembolsos!$C$5:$C$8,MATCH(1,Desembolsos!$AD$5:$AD$8,0)),"")</f>
        <v/>
      </c>
      <c r="F82" s="93" t="str">
        <f aca="false">IFERROR(INDEX(Desembolsos!$T$5:$T$8,MATCH(1,Desembolsos!$AD$5:$AD$8,0)),"")</f>
        <v/>
      </c>
      <c r="G82" s="90" t="str">
        <f aca="false">IFERROR(INDEX(Desembolsos!$U$5:$U$8,MATCH(1,Desembolsos!$AD$5:$AD$8,0)),"")</f>
        <v/>
      </c>
      <c r="H82" s="91" t="str">
        <f aca="false">IFERROR(IF(INDEX(Desembolsos!$P$5:$P$8,MATCH(1,Desembolsos!$AD$5:$AD$8,0))="","",INDEX(Desembolsos!$P$5:$P$8,MATCH(1,Desembolsos!$AD$5:$AD$8,0))),"")</f>
        <v/>
      </c>
      <c r="I82" s="106" t="str">
        <f aca="false">IFERROR(INDEX(Desembolsos!$S$5:$S$8,MATCH(1,Desembolsos!$AD$5:$AD$8,0)),"")</f>
        <v/>
      </c>
    </row>
    <row r="83" customFormat="false" ht="33.75" hidden="false" customHeight="true" outlineLevel="0" collapsed="false">
      <c r="B83" s="89" t="str">
        <f aca="false">IFERROR(INDEX(Desembolsos!$A$5:$A$8,MATCH(2,Desembolsos!$AD$5:$AD$8,0)),"")</f>
        <v/>
      </c>
      <c r="C83" s="90" t="str">
        <f aca="false">IFERROR(INDEX(Desembolsos!$G$5:$G$8,MATCH(2,Desembolsos!$AD$5:$AD$8,0)),"")</f>
        <v/>
      </c>
      <c r="D83" s="106" t="str">
        <f aca="false">IFERROR(INDEX(Desembolsos!$B$5:$B$8,MATCH(2,Desembolsos!$AD$5:$AD$8,0)),"")</f>
        <v/>
      </c>
      <c r="E83" s="107" t="str">
        <f aca="false">IFERROR(INDEX(Desembolsos!$C$5:$C$8,MATCH(2,Desembolsos!$AD$5:$AD$8,0)),"")</f>
        <v/>
      </c>
      <c r="F83" s="93" t="str">
        <f aca="false">IFERROR(INDEX(Desembolsos!$T$5:$T$8,MATCH(2,Desembolsos!$AD$5:$AD$8,0)),"")</f>
        <v/>
      </c>
      <c r="G83" s="90" t="str">
        <f aca="false">IFERROR(INDEX(Desembolsos!$U$5:$U$8,MATCH(2,Desembolsos!$AD$5:$AD$8,0)),"")</f>
        <v/>
      </c>
      <c r="H83" s="91" t="str">
        <f aca="false">IFERROR(IF(INDEX(Desembolsos!$P$5:$P$8,MATCH(2,Desembolsos!$AD$5:$AD$8,0))="","",INDEX(Desembolsos!$P$5:$P$8,MATCH(2,Desembolsos!$AD$5:$AD$8,0))),"")</f>
        <v/>
      </c>
      <c r="I83" s="106" t="str">
        <f aca="false">IFERROR(INDEX(Desembolsos!$S$5:$S$8,MATCH(2,Desembolsos!$AD$5:$AD$8,0)),"")</f>
        <v/>
      </c>
    </row>
    <row r="84" customFormat="false" ht="33.75" hidden="false" customHeight="true" outlineLevel="0" collapsed="false">
      <c r="B84" s="89" t="str">
        <f aca="false">IFERROR(INDEX(Desembolsos!$A$5:$A$8,MATCH(3,Desembolsos!$AD$5:$AD$8,0)),"")</f>
        <v/>
      </c>
      <c r="C84" s="90" t="str">
        <f aca="false">IFERROR(INDEX(Desembolsos!$G$5:$G$8,MATCH(3,Desembolsos!$AD$5:$AD$8,0)),"")</f>
        <v/>
      </c>
      <c r="D84" s="106" t="str">
        <f aca="false">IFERROR(INDEX(Desembolsos!$B$5:$B$8,MATCH(3,Desembolsos!$AD$5:$AD$8,0)),"")</f>
        <v/>
      </c>
      <c r="E84" s="107" t="str">
        <f aca="false">IFERROR(INDEX(Desembolsos!$C$5:$C$8,MATCH(3,Desembolsos!$AD$5:$AD$8,0)),"")</f>
        <v/>
      </c>
      <c r="F84" s="93" t="str">
        <f aca="false">IFERROR(INDEX(Desembolsos!$T$5:$T$8,MATCH(3,Desembolsos!$AD$5:$AD$8,0)),"")</f>
        <v/>
      </c>
      <c r="G84" s="90" t="str">
        <f aca="false">IFERROR(INDEX(Desembolsos!$U$5:$U$8,MATCH(3,Desembolsos!$AD$5:$AD$8,0)),"")</f>
        <v/>
      </c>
      <c r="H84" s="91" t="str">
        <f aca="false">IFERROR(IF(INDEX(Desembolsos!$P$5:$P$8,MATCH(3,Desembolsos!$AD$5:$AD$8,0))="","",INDEX(Desembolsos!$P$5:$P$8,MATCH(3,Desembolsos!$AD$5:$AD$8,0))),"")</f>
        <v/>
      </c>
      <c r="I84" s="106" t="str">
        <f aca="false">IFERROR(INDEX(Desembolsos!$S$5:$S$8,MATCH(3,Desembolsos!$AD$5:$AD$8,0)),"")</f>
        <v/>
      </c>
    </row>
    <row r="85" customFormat="false" ht="33.75" hidden="false" customHeight="true" outlineLevel="0" collapsed="false">
      <c r="B85" s="89" t="str">
        <f aca="false">IFERROR(INDEX(Desembolsos!$A$5:$A$8,MATCH(4,Desembolsos!$AD$5:$AD$8,0)),"")</f>
        <v/>
      </c>
      <c r="C85" s="90" t="str">
        <f aca="false">IFERROR(INDEX(Desembolsos!$G$5:$G$8,MATCH(4,Desembolsos!$AD$5:$AD$8,0)),"")</f>
        <v/>
      </c>
      <c r="D85" s="106" t="str">
        <f aca="false">IFERROR(INDEX(Desembolsos!$B$5:$B$8,MATCH(4,Desembolsos!$AD$5:$AD$8,0)),"")</f>
        <v/>
      </c>
      <c r="E85" s="107" t="str">
        <f aca="false">IFERROR(INDEX(Desembolsos!$C$5:$C$8,MATCH(4,Desembolsos!$AD$5:$AD$8,0)),"")</f>
        <v/>
      </c>
      <c r="F85" s="93" t="str">
        <f aca="false">IFERROR(INDEX(Desembolsos!$T$5:$T$8,MATCH(4,Desembolsos!$AD$5:$AD$8,0)),"")</f>
        <v/>
      </c>
      <c r="G85" s="90" t="str">
        <f aca="false">IFERROR(INDEX(Desembolsos!$U$5:$U$8,MATCH(4,Desembolsos!$AD$5:$AD$8,0)),"")</f>
        <v/>
      </c>
      <c r="H85" s="91" t="str">
        <f aca="false">IFERROR(IF(INDEX(Desembolsos!$P$5:$P$8,MATCH(4,Desembolsos!$AD$5:$AD$8,0))="","",INDEX(Desembolsos!$P$5:$P$8,MATCH(4,Desembolsos!$AD$5:$AD$8,0))),"")</f>
        <v/>
      </c>
      <c r="I85" s="106" t="str">
        <f aca="false">IFERROR(INDEX(Desembolsos!$S$5:$S$8,MATCH(4,Desembolsos!$AD$5:$AD$8,0)),"")</f>
        <v/>
      </c>
    </row>
    <row r="87" customFormat="false" ht="21.75" hidden="false" customHeight="true" outlineLevel="0" collapsed="false">
      <c r="B87" s="96" t="str">
        <f aca="false">"DESEMBOLSOS · FALTA RENDICIÓN  ("&amp;'Datos gráficos'!$C$37&amp;")"</f>
        <v>DESEMBOLSOS · FALTA RENDICIÓN  (0)</v>
      </c>
      <c r="C87" s="96"/>
      <c r="D87" s="96"/>
      <c r="E87" s="96"/>
      <c r="F87" s="96"/>
      <c r="G87" s="96"/>
      <c r="H87" s="97" t="s">
        <v>175</v>
      </c>
      <c r="I87" s="97" t="s">
        <v>176</v>
      </c>
    </row>
    <row r="88" customFormat="false" ht="24" hidden="false" customHeight="true" outlineLevel="0" collapsed="false">
      <c r="B88" s="36" t="s">
        <v>73</v>
      </c>
      <c r="C88" s="36" t="s">
        <v>41</v>
      </c>
      <c r="D88" s="36" t="s">
        <v>40</v>
      </c>
      <c r="E88" s="36" t="s">
        <v>178</v>
      </c>
      <c r="F88" s="36" t="s">
        <v>36</v>
      </c>
      <c r="G88" s="36" t="s">
        <v>45</v>
      </c>
      <c r="H88" s="36" t="s">
        <v>46</v>
      </c>
      <c r="I88" s="36" t="s">
        <v>179</v>
      </c>
    </row>
    <row r="89" customFormat="false" ht="33.75" hidden="false" customHeight="true" outlineLevel="0" collapsed="false">
      <c r="B89" s="89" t="str">
        <f aca="false">IFERROR(INDEX(Desembolsos!$A$5:$A$8,MATCH(1,Desembolsos!$AE$5:$AE$8,0)),"Ningún desembolso en este estado.")</f>
        <v>Ningún desembolso en este estado.</v>
      </c>
      <c r="C89" s="90" t="str">
        <f aca="false">IFERROR(INDEX(Desembolsos!$G$5:$G$8,MATCH(1,Desembolsos!$AE$5:$AE$8,0)),"")</f>
        <v/>
      </c>
      <c r="D89" s="106" t="str">
        <f aca="false">IFERROR(INDEX(Desembolsos!$B$5:$B$8,MATCH(1,Desembolsos!$AE$5:$AE$8,0)),"")</f>
        <v/>
      </c>
      <c r="E89" s="107" t="str">
        <f aca="false">IFERROR(INDEX(Desembolsos!$C$5:$C$8,MATCH(1,Desembolsos!$AE$5:$AE$8,0)),"")</f>
        <v/>
      </c>
      <c r="F89" s="93" t="str">
        <f aca="false">IFERROR(INDEX(Desembolsos!$T$5:$T$8,MATCH(1,Desembolsos!$AE$5:$AE$8,0)),"")</f>
        <v/>
      </c>
      <c r="G89" s="90" t="str">
        <f aca="false">IFERROR(INDEX(Desembolsos!$U$5:$U$8,MATCH(1,Desembolsos!$AE$5:$AE$8,0)),"")</f>
        <v/>
      </c>
      <c r="H89" s="91" t="str">
        <f aca="false">IFERROR(IF(INDEX(Desembolsos!$P$5:$P$8,MATCH(1,Desembolsos!$AE$5:$AE$8,0))="","",INDEX(Desembolsos!$P$5:$P$8,MATCH(1,Desembolsos!$AE$5:$AE$8,0))),"")</f>
        <v/>
      </c>
      <c r="I89" s="106" t="str">
        <f aca="false">IFERROR(INDEX(Desembolsos!$S$5:$S$8,MATCH(1,Desembolsos!$AE$5:$AE$8,0)),"")</f>
        <v/>
      </c>
    </row>
    <row r="90" customFormat="false" ht="33.75" hidden="false" customHeight="true" outlineLevel="0" collapsed="false">
      <c r="B90" s="89" t="str">
        <f aca="false">IFERROR(INDEX(Desembolsos!$A$5:$A$8,MATCH(2,Desembolsos!$AE$5:$AE$8,0)),"")</f>
        <v/>
      </c>
      <c r="C90" s="90" t="str">
        <f aca="false">IFERROR(INDEX(Desembolsos!$G$5:$G$8,MATCH(2,Desembolsos!$AE$5:$AE$8,0)),"")</f>
        <v/>
      </c>
      <c r="D90" s="106" t="str">
        <f aca="false">IFERROR(INDEX(Desembolsos!$B$5:$B$8,MATCH(2,Desembolsos!$AE$5:$AE$8,0)),"")</f>
        <v/>
      </c>
      <c r="E90" s="107" t="str">
        <f aca="false">IFERROR(INDEX(Desembolsos!$C$5:$C$8,MATCH(2,Desembolsos!$AE$5:$AE$8,0)),"")</f>
        <v/>
      </c>
      <c r="F90" s="93" t="str">
        <f aca="false">IFERROR(INDEX(Desembolsos!$T$5:$T$8,MATCH(2,Desembolsos!$AE$5:$AE$8,0)),"")</f>
        <v/>
      </c>
      <c r="G90" s="90" t="str">
        <f aca="false">IFERROR(INDEX(Desembolsos!$U$5:$U$8,MATCH(2,Desembolsos!$AE$5:$AE$8,0)),"")</f>
        <v/>
      </c>
      <c r="H90" s="91" t="str">
        <f aca="false">IFERROR(IF(INDEX(Desembolsos!$P$5:$P$8,MATCH(2,Desembolsos!$AE$5:$AE$8,0))="","",INDEX(Desembolsos!$P$5:$P$8,MATCH(2,Desembolsos!$AE$5:$AE$8,0))),"")</f>
        <v/>
      </c>
      <c r="I90" s="106" t="str">
        <f aca="false">IFERROR(INDEX(Desembolsos!$S$5:$S$8,MATCH(2,Desembolsos!$AE$5:$AE$8,0)),"")</f>
        <v/>
      </c>
    </row>
    <row r="91" customFormat="false" ht="33.75" hidden="false" customHeight="true" outlineLevel="0" collapsed="false">
      <c r="B91" s="89" t="str">
        <f aca="false">IFERROR(INDEX(Desembolsos!$A$5:$A$8,MATCH(3,Desembolsos!$AE$5:$AE$8,0)),"")</f>
        <v/>
      </c>
      <c r="C91" s="90" t="str">
        <f aca="false">IFERROR(INDEX(Desembolsos!$G$5:$G$8,MATCH(3,Desembolsos!$AE$5:$AE$8,0)),"")</f>
        <v/>
      </c>
      <c r="D91" s="106" t="str">
        <f aca="false">IFERROR(INDEX(Desembolsos!$B$5:$B$8,MATCH(3,Desembolsos!$AE$5:$AE$8,0)),"")</f>
        <v/>
      </c>
      <c r="E91" s="107" t="str">
        <f aca="false">IFERROR(INDEX(Desembolsos!$C$5:$C$8,MATCH(3,Desembolsos!$AE$5:$AE$8,0)),"")</f>
        <v/>
      </c>
      <c r="F91" s="93" t="str">
        <f aca="false">IFERROR(INDEX(Desembolsos!$T$5:$T$8,MATCH(3,Desembolsos!$AE$5:$AE$8,0)),"")</f>
        <v/>
      </c>
      <c r="G91" s="90" t="str">
        <f aca="false">IFERROR(INDEX(Desembolsos!$U$5:$U$8,MATCH(3,Desembolsos!$AE$5:$AE$8,0)),"")</f>
        <v/>
      </c>
      <c r="H91" s="91" t="str">
        <f aca="false">IFERROR(IF(INDEX(Desembolsos!$P$5:$P$8,MATCH(3,Desembolsos!$AE$5:$AE$8,0))="","",INDEX(Desembolsos!$P$5:$P$8,MATCH(3,Desembolsos!$AE$5:$AE$8,0))),"")</f>
        <v/>
      </c>
      <c r="I91" s="106" t="str">
        <f aca="false">IFERROR(INDEX(Desembolsos!$S$5:$S$8,MATCH(3,Desembolsos!$AE$5:$AE$8,0)),"")</f>
        <v/>
      </c>
    </row>
    <row r="92" customFormat="false" ht="33.75" hidden="false" customHeight="true" outlineLevel="0" collapsed="false">
      <c r="B92" s="89" t="str">
        <f aca="false">IFERROR(INDEX(Desembolsos!$A$5:$A$8,MATCH(4,Desembolsos!$AE$5:$AE$8,0)),"")</f>
        <v/>
      </c>
      <c r="C92" s="90" t="str">
        <f aca="false">IFERROR(INDEX(Desembolsos!$G$5:$G$8,MATCH(4,Desembolsos!$AE$5:$AE$8,0)),"")</f>
        <v/>
      </c>
      <c r="D92" s="106" t="str">
        <f aca="false">IFERROR(INDEX(Desembolsos!$B$5:$B$8,MATCH(4,Desembolsos!$AE$5:$AE$8,0)),"")</f>
        <v/>
      </c>
      <c r="E92" s="107" t="str">
        <f aca="false">IFERROR(INDEX(Desembolsos!$C$5:$C$8,MATCH(4,Desembolsos!$AE$5:$AE$8,0)),"")</f>
        <v/>
      </c>
      <c r="F92" s="93" t="str">
        <f aca="false">IFERROR(INDEX(Desembolsos!$T$5:$T$8,MATCH(4,Desembolsos!$AE$5:$AE$8,0)),"")</f>
        <v/>
      </c>
      <c r="G92" s="90" t="str">
        <f aca="false">IFERROR(INDEX(Desembolsos!$U$5:$U$8,MATCH(4,Desembolsos!$AE$5:$AE$8,0)),"")</f>
        <v/>
      </c>
      <c r="H92" s="91" t="str">
        <f aca="false">IFERROR(IF(INDEX(Desembolsos!$P$5:$P$8,MATCH(4,Desembolsos!$AE$5:$AE$8,0))="","",INDEX(Desembolsos!$P$5:$P$8,MATCH(4,Desembolsos!$AE$5:$AE$8,0))),"")</f>
        <v/>
      </c>
      <c r="I92" s="106" t="str">
        <f aca="false">IFERROR(INDEX(Desembolsos!$S$5:$S$8,MATCH(4,Desembolsos!$AE$5:$AE$8,0)),"")</f>
        <v/>
      </c>
    </row>
    <row r="94" customFormat="false" ht="21.75" hidden="false" customHeight="true" outlineLevel="0" collapsed="false">
      <c r="B94" s="100" t="str">
        <f aca="false">"DESEMBOLSOS · EN CONFORMIDAD  ("&amp;'Datos gráficos'!$C$38&amp;")"</f>
        <v>DESEMBOLSOS · EN CONFORMIDAD  (1)</v>
      </c>
      <c r="C94" s="100"/>
      <c r="D94" s="100"/>
      <c r="E94" s="100"/>
      <c r="F94" s="100"/>
      <c r="G94" s="100"/>
      <c r="H94" s="101" t="s">
        <v>175</v>
      </c>
      <c r="I94" s="101" t="s">
        <v>176</v>
      </c>
    </row>
    <row r="95" customFormat="false" ht="24" hidden="false" customHeight="true" outlineLevel="0" collapsed="false">
      <c r="B95" s="36" t="s">
        <v>73</v>
      </c>
      <c r="C95" s="36" t="s">
        <v>41</v>
      </c>
      <c r="D95" s="36" t="s">
        <v>40</v>
      </c>
      <c r="E95" s="36" t="s">
        <v>178</v>
      </c>
      <c r="F95" s="36" t="s">
        <v>36</v>
      </c>
      <c r="G95" s="36" t="s">
        <v>45</v>
      </c>
      <c r="H95" s="36" t="s">
        <v>46</v>
      </c>
      <c r="I95" s="36" t="s">
        <v>179</v>
      </c>
    </row>
    <row r="96" customFormat="false" ht="33.75" hidden="false" customHeight="true" outlineLevel="0" collapsed="false">
      <c r="B96" s="89" t="str">
        <f aca="false">IFERROR(INDEX(Desembolsos!$A$5:$A$8,MATCH(1,Desembolsos!$AF$5:$AF$8,0)),"Ningún desembolso en este estado.")</f>
        <v>D1</v>
      </c>
      <c r="C96" s="90" t="str">
        <f aca="false">IFERROR(INDEX(Desembolsos!$G$5:$G$8,MATCH(1,Desembolsos!$AF$5:$AF$8,0)),"")</f>
        <v>Producto 1</v>
      </c>
      <c r="D96" s="106" t="n">
        <f aca="false">IFERROR(INDEX(Desembolsos!$B$5:$B$8,MATCH(1,Desembolsos!$AF$5:$AF$8,0)),"")</f>
        <v>141375</v>
      </c>
      <c r="E96" s="107" t="n">
        <f aca="false">IFERROR(INDEX(Desembolsos!$C$5:$C$8,MATCH(1,Desembolsos!$AF$5:$AF$8,0)),"")</f>
        <v>0.3</v>
      </c>
      <c r="F96" s="93" t="str">
        <f aca="false">IFERROR(INDEX(Desembolsos!$T$5:$T$8,MATCH(1,Desembolsos!$AF$5:$AF$8,0)),"")</f>
        <v>En conformidad</v>
      </c>
      <c r="G96" s="90" t="str">
        <f aca="false">IFERROR(INDEX(Desembolsos!$U$5:$U$8,MATCH(1,Desembolsos!$AF$5:$AF$8,0)),"")</f>
        <v>Conseguir la opinión técnica del Componente 2 y las conformidades del Coordinador y de FAO</v>
      </c>
      <c r="H96" s="91" t="str">
        <f aca="false">IFERROR(IF(INDEX(Desembolsos!$P$5:$P$8,MATCH(1,Desembolsos!$AF$5:$AF$8,0))="","",INDEX(Desembolsos!$P$5:$P$8,MATCH(1,Desembolsos!$AF$5:$AF$8,0))),"")</f>
        <v/>
      </c>
      <c r="I96" s="106" t="n">
        <f aca="false">IFERROR(INDEX(Desembolsos!$S$5:$S$8,MATCH(1,Desembolsos!$AF$5:$AF$8,0)),"")</f>
        <v>0</v>
      </c>
    </row>
    <row r="97" customFormat="false" ht="33.75" hidden="false" customHeight="true" outlineLevel="0" collapsed="false">
      <c r="B97" s="89" t="str">
        <f aca="false">IFERROR(INDEX(Desembolsos!$A$5:$A$8,MATCH(2,Desembolsos!$AF$5:$AF$8,0)),"")</f>
        <v/>
      </c>
      <c r="C97" s="90" t="str">
        <f aca="false">IFERROR(INDEX(Desembolsos!$G$5:$G$8,MATCH(2,Desembolsos!$AF$5:$AF$8,0)),"")</f>
        <v/>
      </c>
      <c r="D97" s="106" t="str">
        <f aca="false">IFERROR(INDEX(Desembolsos!$B$5:$B$8,MATCH(2,Desembolsos!$AF$5:$AF$8,0)),"")</f>
        <v/>
      </c>
      <c r="E97" s="107" t="str">
        <f aca="false">IFERROR(INDEX(Desembolsos!$C$5:$C$8,MATCH(2,Desembolsos!$AF$5:$AF$8,0)),"")</f>
        <v/>
      </c>
      <c r="F97" s="93" t="str">
        <f aca="false">IFERROR(INDEX(Desembolsos!$T$5:$T$8,MATCH(2,Desembolsos!$AF$5:$AF$8,0)),"")</f>
        <v/>
      </c>
      <c r="G97" s="90" t="str">
        <f aca="false">IFERROR(INDEX(Desembolsos!$U$5:$U$8,MATCH(2,Desembolsos!$AF$5:$AF$8,0)),"")</f>
        <v/>
      </c>
      <c r="H97" s="91" t="str">
        <f aca="false">IFERROR(IF(INDEX(Desembolsos!$P$5:$P$8,MATCH(2,Desembolsos!$AF$5:$AF$8,0))="","",INDEX(Desembolsos!$P$5:$P$8,MATCH(2,Desembolsos!$AF$5:$AF$8,0))),"")</f>
        <v/>
      </c>
      <c r="I97" s="106" t="str">
        <f aca="false">IFERROR(INDEX(Desembolsos!$S$5:$S$8,MATCH(2,Desembolsos!$AF$5:$AF$8,0)),"")</f>
        <v/>
      </c>
    </row>
    <row r="98" customFormat="false" ht="33.75" hidden="false" customHeight="true" outlineLevel="0" collapsed="false">
      <c r="B98" s="89" t="str">
        <f aca="false">IFERROR(INDEX(Desembolsos!$A$5:$A$8,MATCH(3,Desembolsos!$AF$5:$AF$8,0)),"")</f>
        <v/>
      </c>
      <c r="C98" s="90" t="str">
        <f aca="false">IFERROR(INDEX(Desembolsos!$G$5:$G$8,MATCH(3,Desembolsos!$AF$5:$AF$8,0)),"")</f>
        <v/>
      </c>
      <c r="D98" s="106" t="str">
        <f aca="false">IFERROR(INDEX(Desembolsos!$B$5:$B$8,MATCH(3,Desembolsos!$AF$5:$AF$8,0)),"")</f>
        <v/>
      </c>
      <c r="E98" s="107" t="str">
        <f aca="false">IFERROR(INDEX(Desembolsos!$C$5:$C$8,MATCH(3,Desembolsos!$AF$5:$AF$8,0)),"")</f>
        <v/>
      </c>
      <c r="F98" s="93" t="str">
        <f aca="false">IFERROR(INDEX(Desembolsos!$T$5:$T$8,MATCH(3,Desembolsos!$AF$5:$AF$8,0)),"")</f>
        <v/>
      </c>
      <c r="G98" s="90" t="str">
        <f aca="false">IFERROR(INDEX(Desembolsos!$U$5:$U$8,MATCH(3,Desembolsos!$AF$5:$AF$8,0)),"")</f>
        <v/>
      </c>
      <c r="H98" s="91" t="str">
        <f aca="false">IFERROR(IF(INDEX(Desembolsos!$P$5:$P$8,MATCH(3,Desembolsos!$AF$5:$AF$8,0))="","",INDEX(Desembolsos!$P$5:$P$8,MATCH(3,Desembolsos!$AF$5:$AF$8,0))),"")</f>
        <v/>
      </c>
      <c r="I98" s="106" t="str">
        <f aca="false">IFERROR(INDEX(Desembolsos!$S$5:$S$8,MATCH(3,Desembolsos!$AF$5:$AF$8,0)),"")</f>
        <v/>
      </c>
    </row>
    <row r="99" customFormat="false" ht="33.75" hidden="false" customHeight="true" outlineLevel="0" collapsed="false">
      <c r="B99" s="89" t="str">
        <f aca="false">IFERROR(INDEX(Desembolsos!$A$5:$A$8,MATCH(4,Desembolsos!$AF$5:$AF$8,0)),"")</f>
        <v/>
      </c>
      <c r="C99" s="90" t="str">
        <f aca="false">IFERROR(INDEX(Desembolsos!$G$5:$G$8,MATCH(4,Desembolsos!$AF$5:$AF$8,0)),"")</f>
        <v/>
      </c>
      <c r="D99" s="106" t="str">
        <f aca="false">IFERROR(INDEX(Desembolsos!$B$5:$B$8,MATCH(4,Desembolsos!$AF$5:$AF$8,0)),"")</f>
        <v/>
      </c>
      <c r="E99" s="107" t="str">
        <f aca="false">IFERROR(INDEX(Desembolsos!$C$5:$C$8,MATCH(4,Desembolsos!$AF$5:$AF$8,0)),"")</f>
        <v/>
      </c>
      <c r="F99" s="93" t="str">
        <f aca="false">IFERROR(INDEX(Desembolsos!$T$5:$T$8,MATCH(4,Desembolsos!$AF$5:$AF$8,0)),"")</f>
        <v/>
      </c>
      <c r="G99" s="90" t="str">
        <f aca="false">IFERROR(INDEX(Desembolsos!$U$5:$U$8,MATCH(4,Desembolsos!$AF$5:$AF$8,0)),"")</f>
        <v/>
      </c>
      <c r="H99" s="91" t="str">
        <f aca="false">IFERROR(IF(INDEX(Desembolsos!$P$5:$P$8,MATCH(4,Desembolsos!$AF$5:$AF$8,0))="","",INDEX(Desembolsos!$P$5:$P$8,MATCH(4,Desembolsos!$AF$5:$AF$8,0))),"")</f>
        <v/>
      </c>
      <c r="I99" s="106" t="str">
        <f aca="false">IFERROR(INDEX(Desembolsos!$S$5:$S$8,MATCH(4,Desembolsos!$AF$5:$AF$8,0)),"")</f>
        <v/>
      </c>
    </row>
    <row r="101" customFormat="false" ht="21.75" hidden="false" customHeight="true" outlineLevel="0" collapsed="false">
      <c r="B101" s="108" t="str">
        <f aca="false">"DESEMBOLSOS · PENDIENTE DE PRODUCTO  ("&amp;'Datos gráficos'!$C$39&amp;")"</f>
        <v>DESEMBOLSOS · PENDIENTE DE PRODUCTO  (3)</v>
      </c>
      <c r="C101" s="108"/>
      <c r="D101" s="108"/>
      <c r="E101" s="108"/>
      <c r="F101" s="108"/>
      <c r="G101" s="108"/>
      <c r="H101" s="109" t="s">
        <v>175</v>
      </c>
      <c r="I101" s="109" t="s">
        <v>176</v>
      </c>
    </row>
    <row r="102" customFormat="false" ht="24" hidden="false" customHeight="true" outlineLevel="0" collapsed="false">
      <c r="B102" s="36" t="s">
        <v>73</v>
      </c>
      <c r="C102" s="36" t="s">
        <v>41</v>
      </c>
      <c r="D102" s="36" t="s">
        <v>40</v>
      </c>
      <c r="E102" s="36" t="s">
        <v>178</v>
      </c>
      <c r="F102" s="36" t="s">
        <v>36</v>
      </c>
      <c r="G102" s="36" t="s">
        <v>45</v>
      </c>
      <c r="H102" s="36" t="s">
        <v>46</v>
      </c>
      <c r="I102" s="36" t="s">
        <v>179</v>
      </c>
    </row>
    <row r="103" customFormat="false" ht="33.75" hidden="false" customHeight="true" outlineLevel="0" collapsed="false">
      <c r="B103" s="89" t="str">
        <f aca="false">IFERROR(INDEX(Desembolsos!$A$5:$A$8,MATCH(1,Desembolsos!$AG$5:$AG$8,0)),"Ningún desembolso en este estado.")</f>
        <v>D2</v>
      </c>
      <c r="C103" s="90" t="str">
        <f aca="false">IFERROR(INDEX(Desembolsos!$G$5:$G$8,MATCH(1,Desembolsos!$AG$5:$AG$8,0)),"")</f>
        <v>Producto 2 (Parte I y Parte II)</v>
      </c>
      <c r="D103" s="106" t="n">
        <f aca="false">IFERROR(INDEX(Desembolsos!$B$5:$B$8,MATCH(1,Desembolsos!$AG$5:$AG$8,0)),"")</f>
        <v>141375</v>
      </c>
      <c r="E103" s="107" t="n">
        <f aca="false">IFERROR(INDEX(Desembolsos!$C$5:$C$8,MATCH(1,Desembolsos!$AG$5:$AG$8,0)),"")</f>
        <v>0.3</v>
      </c>
      <c r="F103" s="93" t="str">
        <f aca="false">IFERROR(INDEX(Desembolsos!$T$5:$T$8,MATCH(1,Desembolsos!$AG$5:$AG$8,0)),"")</f>
        <v>Pendiente de producto</v>
      </c>
      <c r="G103" s="90" t="str">
        <f aca="false">IFERROR(INDEX(Desembolsos!$U$5:$U$8,MATCH(1,Desembolsos!$AG$5:$AG$8,0)),"")</f>
        <v>Presentar Producto 2 (Parte I y Parte II) (vence el 30/06/2026)</v>
      </c>
      <c r="H103" s="91" t="str">
        <f aca="false">IFERROR(IF(INDEX(Desembolsos!$P$5:$P$8,MATCH(1,Desembolsos!$AG$5:$AG$8,0))="","",INDEX(Desembolsos!$P$5:$P$8,MATCH(1,Desembolsos!$AG$5:$AG$8,0))),"")</f>
        <v/>
      </c>
      <c r="I103" s="106" t="n">
        <f aca="false">IFERROR(INDEX(Desembolsos!$S$5:$S$8,MATCH(1,Desembolsos!$AG$5:$AG$8,0)),"")</f>
        <v>0</v>
      </c>
    </row>
    <row r="104" customFormat="false" ht="33.75" hidden="false" customHeight="true" outlineLevel="0" collapsed="false">
      <c r="B104" s="89" t="str">
        <f aca="false">IFERROR(INDEX(Desembolsos!$A$5:$A$8,MATCH(2,Desembolsos!$AG$5:$AG$8,0)),"")</f>
        <v>D3</v>
      </c>
      <c r="C104" s="90" t="str">
        <f aca="false">IFERROR(INDEX(Desembolsos!$G$5:$G$8,MATCH(2,Desembolsos!$AG$5:$AG$8,0)),"")</f>
        <v>Producto 3</v>
      </c>
      <c r="D104" s="106" t="n">
        <f aca="false">IFERROR(INDEX(Desembolsos!$B$5:$B$8,MATCH(2,Desembolsos!$AG$5:$AG$8,0)),"")</f>
        <v>117812</v>
      </c>
      <c r="E104" s="107" t="n">
        <f aca="false">IFERROR(INDEX(Desembolsos!$C$5:$C$8,MATCH(2,Desembolsos!$AG$5:$AG$8,0)),"")</f>
        <v>0.249998938992042</v>
      </c>
      <c r="F104" s="93" t="str">
        <f aca="false">IFERROR(INDEX(Desembolsos!$T$5:$T$8,MATCH(2,Desembolsos!$AG$5:$AG$8,0)),"")</f>
        <v>Pendiente de producto</v>
      </c>
      <c r="G104" s="90" t="str">
        <f aca="false">IFERROR(INDEX(Desembolsos!$U$5:$U$8,MATCH(2,Desembolsos!$AG$5:$AG$8,0)),"")</f>
        <v>Presentar Producto 3 (vence el 18/12/2026)</v>
      </c>
      <c r="H104" s="91" t="str">
        <f aca="false">IFERROR(IF(INDEX(Desembolsos!$P$5:$P$8,MATCH(2,Desembolsos!$AG$5:$AG$8,0))="","",INDEX(Desembolsos!$P$5:$P$8,MATCH(2,Desembolsos!$AG$5:$AG$8,0))),"")</f>
        <v/>
      </c>
      <c r="I104" s="106" t="n">
        <f aca="false">IFERROR(INDEX(Desembolsos!$S$5:$S$8,MATCH(2,Desembolsos!$AG$5:$AG$8,0)),"")</f>
        <v>0</v>
      </c>
    </row>
    <row r="105" customFormat="false" ht="33.75" hidden="false" customHeight="true" outlineLevel="0" collapsed="false">
      <c r="B105" s="89" t="str">
        <f aca="false">IFERROR(INDEX(Desembolsos!$A$5:$A$8,MATCH(3,Desembolsos!$AG$5:$AG$8,0)),"")</f>
        <v>D4</v>
      </c>
      <c r="C105" s="90" t="str">
        <f aca="false">IFERROR(INDEX(Desembolsos!$G$5:$G$8,MATCH(3,Desembolsos!$AG$5:$AG$8,0)),"")</f>
        <v>Producto 4</v>
      </c>
      <c r="D105" s="106" t="n">
        <f aca="false">IFERROR(INDEX(Desembolsos!$B$5:$B$8,MATCH(3,Desembolsos!$AG$5:$AG$8,0)),"")</f>
        <v>70688</v>
      </c>
      <c r="E105" s="107" t="n">
        <f aca="false">IFERROR(INDEX(Desembolsos!$C$5:$C$8,MATCH(3,Desembolsos!$AG$5:$AG$8,0)),"")</f>
        <v>0.150001061007958</v>
      </c>
      <c r="F105" s="93" t="str">
        <f aca="false">IFERROR(INDEX(Desembolsos!$T$5:$T$8,MATCH(3,Desembolsos!$AG$5:$AG$8,0)),"")</f>
        <v>Pendiente de producto</v>
      </c>
      <c r="G105" s="90" t="str">
        <f aca="false">IFERROR(INDEX(Desembolsos!$U$5:$U$8,MATCH(3,Desembolsos!$AG$5:$AG$8,0)),"")</f>
        <v>Presentar Producto 4 (vence el 30/04/2027)</v>
      </c>
      <c r="H105" s="91" t="str">
        <f aca="false">IFERROR(IF(INDEX(Desembolsos!$P$5:$P$8,MATCH(3,Desembolsos!$AG$5:$AG$8,0))="","",INDEX(Desembolsos!$P$5:$P$8,MATCH(3,Desembolsos!$AG$5:$AG$8,0))),"")</f>
        <v/>
      </c>
      <c r="I105" s="106" t="n">
        <f aca="false">IFERROR(INDEX(Desembolsos!$S$5:$S$8,MATCH(3,Desembolsos!$AG$5:$AG$8,0)),"")</f>
        <v>0</v>
      </c>
    </row>
    <row r="106" customFormat="false" ht="33.75" hidden="false" customHeight="true" outlineLevel="0" collapsed="false">
      <c r="B106" s="89" t="str">
        <f aca="false">IFERROR(INDEX(Desembolsos!$A$5:$A$8,MATCH(4,Desembolsos!$AG$5:$AG$8,0)),"")</f>
        <v/>
      </c>
      <c r="C106" s="90" t="str">
        <f aca="false">IFERROR(INDEX(Desembolsos!$G$5:$G$8,MATCH(4,Desembolsos!$AG$5:$AG$8,0)),"")</f>
        <v/>
      </c>
      <c r="D106" s="106" t="str">
        <f aca="false">IFERROR(INDEX(Desembolsos!$B$5:$B$8,MATCH(4,Desembolsos!$AG$5:$AG$8,0)),"")</f>
        <v/>
      </c>
      <c r="E106" s="107" t="str">
        <f aca="false">IFERROR(INDEX(Desembolsos!$C$5:$C$8,MATCH(4,Desembolsos!$AG$5:$AG$8,0)),"")</f>
        <v/>
      </c>
      <c r="F106" s="93" t="str">
        <f aca="false">IFERROR(INDEX(Desembolsos!$T$5:$T$8,MATCH(4,Desembolsos!$AG$5:$AG$8,0)),"")</f>
        <v/>
      </c>
      <c r="G106" s="90" t="str">
        <f aca="false">IFERROR(INDEX(Desembolsos!$U$5:$U$8,MATCH(4,Desembolsos!$AG$5:$AG$8,0)),"")</f>
        <v/>
      </c>
      <c r="H106" s="91" t="str">
        <f aca="false">IFERROR(IF(INDEX(Desembolsos!$P$5:$P$8,MATCH(4,Desembolsos!$AG$5:$AG$8,0))="","",INDEX(Desembolsos!$P$5:$P$8,MATCH(4,Desembolsos!$AG$5:$AG$8,0))),"")</f>
        <v/>
      </c>
      <c r="I106" s="106" t="str">
        <f aca="false">IFERROR(INDEX(Desembolsos!$S$5:$S$8,MATCH(4,Desembolsos!$AG$5:$AG$8,0)),"")</f>
        <v/>
      </c>
    </row>
  </sheetData>
  <mergeCells count="13">
    <mergeCell ref="B10:G10"/>
    <mergeCell ref="B18:G18"/>
    <mergeCell ref="B26:G26"/>
    <mergeCell ref="B34:G34"/>
    <mergeCell ref="B42:G42"/>
    <mergeCell ref="B50:G50"/>
    <mergeCell ref="B58:G58"/>
    <mergeCell ref="B66:G66"/>
    <mergeCell ref="B73:G73"/>
    <mergeCell ref="B80:G80"/>
    <mergeCell ref="B87:G87"/>
    <mergeCell ref="B94:G94"/>
    <mergeCell ref="B101:G101"/>
  </mergeCells>
  <conditionalFormatting sqref="F12:F16">
    <cfRule type="expression" priority="2" aboveAverage="0" equalAverage="0" bottom="0" percent="0" rank="0" text="" dxfId="4">
      <formula>F12="Por entregar"</formula>
    </cfRule>
    <cfRule type="expression" priority="3" aboveAverage="0" equalAverage="0" bottom="0" percent="0" rank="0" text="" dxfId="1">
      <formula>F12="Por vencer"</formula>
    </cfRule>
    <cfRule type="expression" priority="4" aboveAverage="0" equalAverage="0" bottom="0" percent="0" rank="0" text="" dxfId="0">
      <formula>F12="Vencido"</formula>
    </cfRule>
    <cfRule type="expression" priority="5" aboveAverage="0" equalAverage="0" bottom="0" percent="0" rank="0" text="" dxfId="5">
      <formula>F12="En revisión"</formula>
    </cfRule>
    <cfRule type="expression" priority="6" aboveAverage="0" equalAverage="0" bottom="0" percent="0" rank="0" text="" dxfId="6">
      <formula>F12="Observado"</formula>
    </cfRule>
    <cfRule type="expression" priority="7" aboveAverage="0" equalAverage="0" bottom="0" percent="0" rank="0" text="" dxfId="2">
      <formula>F12="Aprobado"</formula>
    </cfRule>
  </conditionalFormatting>
  <conditionalFormatting sqref="F20:F24">
    <cfRule type="expression" priority="8" aboveAverage="0" equalAverage="0" bottom="0" percent="0" rank="0" text="" dxfId="4">
      <formula>F20="Por entregar"</formula>
    </cfRule>
    <cfRule type="expression" priority="9" aboveAverage="0" equalAverage="0" bottom="0" percent="0" rank="0" text="" dxfId="1">
      <formula>F20="Por vencer"</formula>
    </cfRule>
    <cfRule type="expression" priority="10" aboveAverage="0" equalAverage="0" bottom="0" percent="0" rank="0" text="" dxfId="0">
      <formula>F20="Vencido"</formula>
    </cfRule>
    <cfRule type="expression" priority="11" aboveAverage="0" equalAverage="0" bottom="0" percent="0" rank="0" text="" dxfId="5">
      <formula>F20="En revisión"</formula>
    </cfRule>
    <cfRule type="expression" priority="12" aboveAverage="0" equalAverage="0" bottom="0" percent="0" rank="0" text="" dxfId="6">
      <formula>F20="Observado"</formula>
    </cfRule>
    <cfRule type="expression" priority="13" aboveAverage="0" equalAverage="0" bottom="0" percent="0" rank="0" text="" dxfId="2">
      <formula>F20="Aprobado"</formula>
    </cfRule>
  </conditionalFormatting>
  <conditionalFormatting sqref="F28:F32">
    <cfRule type="expression" priority="14" aboveAverage="0" equalAverage="0" bottom="0" percent="0" rank="0" text="" dxfId="4">
      <formula>F28="Por entregar"</formula>
    </cfRule>
    <cfRule type="expression" priority="15" aboveAverage="0" equalAverage="0" bottom="0" percent="0" rank="0" text="" dxfId="1">
      <formula>F28="Por vencer"</formula>
    </cfRule>
    <cfRule type="expression" priority="16" aboveAverage="0" equalAverage="0" bottom="0" percent="0" rank="0" text="" dxfId="0">
      <formula>F28="Vencido"</formula>
    </cfRule>
    <cfRule type="expression" priority="17" aboveAverage="0" equalAverage="0" bottom="0" percent="0" rank="0" text="" dxfId="5">
      <formula>F28="En revisión"</formula>
    </cfRule>
    <cfRule type="expression" priority="18" aboveAverage="0" equalAverage="0" bottom="0" percent="0" rank="0" text="" dxfId="6">
      <formula>F28="Observado"</formula>
    </cfRule>
    <cfRule type="expression" priority="19" aboveAverage="0" equalAverage="0" bottom="0" percent="0" rank="0" text="" dxfId="2">
      <formula>F28="Aprobado"</formula>
    </cfRule>
  </conditionalFormatting>
  <conditionalFormatting sqref="F36:F40">
    <cfRule type="expression" priority="20" aboveAverage="0" equalAverage="0" bottom="0" percent="0" rank="0" text="" dxfId="4">
      <formula>F36="Por entregar"</formula>
    </cfRule>
    <cfRule type="expression" priority="21" aboveAverage="0" equalAverage="0" bottom="0" percent="0" rank="0" text="" dxfId="1">
      <formula>F36="Por vencer"</formula>
    </cfRule>
    <cfRule type="expression" priority="22" aboveAverage="0" equalAverage="0" bottom="0" percent="0" rank="0" text="" dxfId="0">
      <formula>F36="Vencido"</formula>
    </cfRule>
    <cfRule type="expression" priority="23" aboveAverage="0" equalAverage="0" bottom="0" percent="0" rank="0" text="" dxfId="5">
      <formula>F36="En revisión"</formula>
    </cfRule>
    <cfRule type="expression" priority="24" aboveAverage="0" equalAverage="0" bottom="0" percent="0" rank="0" text="" dxfId="6">
      <formula>F36="Observado"</formula>
    </cfRule>
    <cfRule type="expression" priority="25" aboveAverage="0" equalAverage="0" bottom="0" percent="0" rank="0" text="" dxfId="2">
      <formula>F36="Aprobado"</formula>
    </cfRule>
  </conditionalFormatting>
  <conditionalFormatting sqref="F44:F48">
    <cfRule type="expression" priority="26" aboveAverage="0" equalAverage="0" bottom="0" percent="0" rank="0" text="" dxfId="4">
      <formula>F44="Por entregar"</formula>
    </cfRule>
    <cfRule type="expression" priority="27" aboveAverage="0" equalAverage="0" bottom="0" percent="0" rank="0" text="" dxfId="1">
      <formula>F44="Por vencer"</formula>
    </cfRule>
    <cfRule type="expression" priority="28" aboveAverage="0" equalAverage="0" bottom="0" percent="0" rank="0" text="" dxfId="0">
      <formula>F44="Vencido"</formula>
    </cfRule>
    <cfRule type="expression" priority="29" aboveAverage="0" equalAverage="0" bottom="0" percent="0" rank="0" text="" dxfId="5">
      <formula>F44="En revisión"</formula>
    </cfRule>
    <cfRule type="expression" priority="30" aboveAverage="0" equalAverage="0" bottom="0" percent="0" rank="0" text="" dxfId="6">
      <formula>F44="Observado"</formula>
    </cfRule>
    <cfRule type="expression" priority="31" aboveAverage="0" equalAverage="0" bottom="0" percent="0" rank="0" text="" dxfId="2">
      <formula>F44="Aprobado"</formula>
    </cfRule>
  </conditionalFormatting>
  <conditionalFormatting sqref="F52:F56">
    <cfRule type="expression" priority="32" aboveAverage="0" equalAverage="0" bottom="0" percent="0" rank="0" text="" dxfId="4">
      <formula>F52="Por entregar"</formula>
    </cfRule>
    <cfRule type="expression" priority="33" aboveAverage="0" equalAverage="0" bottom="0" percent="0" rank="0" text="" dxfId="1">
      <formula>F52="Por vencer"</formula>
    </cfRule>
    <cfRule type="expression" priority="34" aboveAverage="0" equalAverage="0" bottom="0" percent="0" rank="0" text="" dxfId="0">
      <formula>F52="Vencido"</formula>
    </cfRule>
    <cfRule type="expression" priority="35" aboveAverage="0" equalAverage="0" bottom="0" percent="0" rank="0" text="" dxfId="5">
      <formula>F52="En revisión"</formula>
    </cfRule>
    <cfRule type="expression" priority="36" aboveAverage="0" equalAverage="0" bottom="0" percent="0" rank="0" text="" dxfId="6">
      <formula>F52="Observado"</formula>
    </cfRule>
    <cfRule type="expression" priority="37" aboveAverage="0" equalAverage="0" bottom="0" percent="0" rank="0" text="" dxfId="2">
      <formula>F52="Aprobado"</formula>
    </cfRule>
  </conditionalFormatting>
  <conditionalFormatting sqref="F60:F64">
    <cfRule type="expression" priority="38" aboveAverage="0" equalAverage="0" bottom="0" percent="0" rank="0" text="" dxfId="4">
      <formula>F60="Por entregar"</formula>
    </cfRule>
    <cfRule type="expression" priority="39" aboveAverage="0" equalAverage="0" bottom="0" percent="0" rank="0" text="" dxfId="1">
      <formula>F60="Por vencer"</formula>
    </cfRule>
    <cfRule type="expression" priority="40" aboveAverage="0" equalAverage="0" bottom="0" percent="0" rank="0" text="" dxfId="0">
      <formula>F60="Vencido"</formula>
    </cfRule>
    <cfRule type="expression" priority="41" aboveAverage="0" equalAverage="0" bottom="0" percent="0" rank="0" text="" dxfId="5">
      <formula>F60="En revisión"</formula>
    </cfRule>
    <cfRule type="expression" priority="42" aboveAverage="0" equalAverage="0" bottom="0" percent="0" rank="0" text="" dxfId="6">
      <formula>F60="Observado"</formula>
    </cfRule>
    <cfRule type="expression" priority="43" aboveAverage="0" equalAverage="0" bottom="0" percent="0" rank="0" text="" dxfId="2">
      <formula>F60="Aprobado"</formula>
    </cfRule>
  </conditionalFormatting>
  <conditionalFormatting sqref="F68:F71">
    <cfRule type="expression" priority="44" aboveAverage="0" equalAverage="0" bottom="0" percent="0" rank="0" text="" dxfId="2">
      <formula>F68="Desembolsado"</formula>
    </cfRule>
    <cfRule type="expression" priority="45" aboveAverage="0" equalAverage="0" bottom="0" percent="0" rank="0" text="" dxfId="4">
      <formula>F68="Listo para solicitar"</formula>
    </cfRule>
    <cfRule type="expression" priority="46" aboveAverage="0" equalAverage="0" bottom="0" percent="0" rank="0" text="" dxfId="1">
      <formula>F68="Falta rendición"</formula>
    </cfRule>
    <cfRule type="expression" priority="47" aboveAverage="0" equalAverage="0" bottom="0" percent="0" rank="0" text="" dxfId="5">
      <formula>F68="En conformidad"</formula>
    </cfRule>
    <cfRule type="expression" priority="48" aboveAverage="0" equalAverage="0" bottom="0" percent="0" rank="0" text="" dxfId="8">
      <formula>F68="Pendiente de producto"</formula>
    </cfRule>
  </conditionalFormatting>
  <conditionalFormatting sqref="F75:F78">
    <cfRule type="expression" priority="49" aboveAverage="0" equalAverage="0" bottom="0" percent="0" rank="0" text="" dxfId="2">
      <formula>F75="Desembolsado"</formula>
    </cfRule>
    <cfRule type="expression" priority="50" aboveAverage="0" equalAverage="0" bottom="0" percent="0" rank="0" text="" dxfId="4">
      <formula>F75="Listo para solicitar"</formula>
    </cfRule>
    <cfRule type="expression" priority="51" aboveAverage="0" equalAverage="0" bottom="0" percent="0" rank="0" text="" dxfId="1">
      <formula>F75="Falta rendición"</formula>
    </cfRule>
    <cfRule type="expression" priority="52" aboveAverage="0" equalAverage="0" bottom="0" percent="0" rank="0" text="" dxfId="5">
      <formula>F75="En conformidad"</formula>
    </cfRule>
    <cfRule type="expression" priority="53" aboveAverage="0" equalAverage="0" bottom="0" percent="0" rank="0" text="" dxfId="8">
      <formula>F75="Pendiente de producto"</formula>
    </cfRule>
  </conditionalFormatting>
  <conditionalFormatting sqref="F82:F85">
    <cfRule type="expression" priority="54" aboveAverage="0" equalAverage="0" bottom="0" percent="0" rank="0" text="" dxfId="2">
      <formula>F82="Desembolsado"</formula>
    </cfRule>
    <cfRule type="expression" priority="55" aboveAverage="0" equalAverage="0" bottom="0" percent="0" rank="0" text="" dxfId="4">
      <formula>F82="Listo para solicitar"</formula>
    </cfRule>
    <cfRule type="expression" priority="56" aboveAverage="0" equalAverage="0" bottom="0" percent="0" rank="0" text="" dxfId="1">
      <formula>F82="Falta rendición"</formula>
    </cfRule>
    <cfRule type="expression" priority="57" aboveAverage="0" equalAverage="0" bottom="0" percent="0" rank="0" text="" dxfId="5">
      <formula>F82="En conformidad"</formula>
    </cfRule>
    <cfRule type="expression" priority="58" aboveAverage="0" equalAverage="0" bottom="0" percent="0" rank="0" text="" dxfId="8">
      <formula>F82="Pendiente de producto"</formula>
    </cfRule>
  </conditionalFormatting>
  <conditionalFormatting sqref="F89:F92">
    <cfRule type="expression" priority="59" aboveAverage="0" equalAverage="0" bottom="0" percent="0" rank="0" text="" dxfId="2">
      <formula>F89="Desembolsado"</formula>
    </cfRule>
    <cfRule type="expression" priority="60" aboveAverage="0" equalAverage="0" bottom="0" percent="0" rank="0" text="" dxfId="4">
      <formula>F89="Listo para solicitar"</formula>
    </cfRule>
    <cfRule type="expression" priority="61" aboveAverage="0" equalAverage="0" bottom="0" percent="0" rank="0" text="" dxfId="1">
      <formula>F89="Falta rendición"</formula>
    </cfRule>
    <cfRule type="expression" priority="62" aboveAverage="0" equalAverage="0" bottom="0" percent="0" rank="0" text="" dxfId="5">
      <formula>F89="En conformidad"</formula>
    </cfRule>
    <cfRule type="expression" priority="63" aboveAverage="0" equalAverage="0" bottom="0" percent="0" rank="0" text="" dxfId="8">
      <formula>F89="Pendiente de producto"</formula>
    </cfRule>
  </conditionalFormatting>
  <conditionalFormatting sqref="F96:F99">
    <cfRule type="expression" priority="64" aboveAverage="0" equalAverage="0" bottom="0" percent="0" rank="0" text="" dxfId="2">
      <formula>F96="Desembolsado"</formula>
    </cfRule>
    <cfRule type="expression" priority="65" aboveAverage="0" equalAverage="0" bottom="0" percent="0" rank="0" text="" dxfId="4">
      <formula>F96="Listo para solicitar"</formula>
    </cfRule>
    <cfRule type="expression" priority="66" aboveAverage="0" equalAverage="0" bottom="0" percent="0" rank="0" text="" dxfId="1">
      <formula>F96="Falta rendición"</formula>
    </cfRule>
    <cfRule type="expression" priority="67" aboveAverage="0" equalAverage="0" bottom="0" percent="0" rank="0" text="" dxfId="5">
      <formula>F96="En conformidad"</formula>
    </cfRule>
    <cfRule type="expression" priority="68" aboveAverage="0" equalAverage="0" bottom="0" percent="0" rank="0" text="" dxfId="8">
      <formula>F96="Pendiente de producto"</formula>
    </cfRule>
  </conditionalFormatting>
  <conditionalFormatting sqref="F103:F106">
    <cfRule type="expression" priority="69" aboveAverage="0" equalAverage="0" bottom="0" percent="0" rank="0" text="" dxfId="2">
      <formula>F103="Desembolsado"</formula>
    </cfRule>
    <cfRule type="expression" priority="70" aboveAverage="0" equalAverage="0" bottom="0" percent="0" rank="0" text="" dxfId="4">
      <formula>F103="Listo para solicitar"</formula>
    </cfRule>
    <cfRule type="expression" priority="71" aboveAverage="0" equalAverage="0" bottom="0" percent="0" rank="0" text="" dxfId="1">
      <formula>F103="Falta rendición"</formula>
    </cfRule>
    <cfRule type="expression" priority="72" aboveAverage="0" equalAverage="0" bottom="0" percent="0" rank="0" text="" dxfId="5">
      <formula>F103="En conformidad"</formula>
    </cfRule>
    <cfRule type="expression" priority="73" aboveAverage="0" equalAverage="0" bottom="0" percent="0" rank="0" text="" dxfId="8">
      <formula>F103="Pendiente de producto"</formula>
    </cfRule>
  </conditionalFormatting>
  <hyperlinks>
    <hyperlink ref="B1" location="'Panel'!A1" display="← Volver al Panel"/>
    <hyperlink ref="C5" location="'Vistas'!B10" display="Todos"/>
    <hyperlink ref="D5" location="'Vistas'!B18" display="Por entregar"/>
    <hyperlink ref="E5" location="'Vistas'!B26" display="Por vencer"/>
    <hyperlink ref="F5" location="'Vistas'!B34" display="Vencido"/>
    <hyperlink ref="G5" location="'Vistas'!B42" display="En revisión"/>
    <hyperlink ref="H5" location="'Vistas'!B50" display="Observado"/>
    <hyperlink ref="I5" location="'Vistas'!B58" display="Aprobado"/>
    <hyperlink ref="C7" location="'Vistas'!B66" display="Todos"/>
    <hyperlink ref="D7" location="'Vistas'!B73" display="Desembolsado"/>
    <hyperlink ref="E7" location="'Vistas'!B80" display="Listo para solicitar"/>
    <hyperlink ref="F7" location="'Vistas'!B87" display="Falta rendición"/>
    <hyperlink ref="G7" location="'Vistas'!B94" display="En conformidad"/>
    <hyperlink ref="H7" location="'Vistas'!B101" display="Pendiente de producto"/>
    <hyperlink ref="H10" location="'Vistas'!B4" display="↑ Índice"/>
    <hyperlink ref="I10" location="'Panel'!B20" display="← Panel"/>
    <hyperlink ref="H18" location="'Vistas'!B4" display="↑ Índice"/>
    <hyperlink ref="I18" location="'Panel'!B20" display="← Panel"/>
    <hyperlink ref="H26" location="'Vistas'!B4" display="↑ Índice"/>
    <hyperlink ref="I26" location="'Panel'!B20" display="← Panel"/>
    <hyperlink ref="H34" location="'Vistas'!B4" display="↑ Índice"/>
    <hyperlink ref="I34" location="'Panel'!B20" display="← Panel"/>
    <hyperlink ref="H42" location="'Vistas'!B4" display="↑ Índice"/>
    <hyperlink ref="I42" location="'Panel'!B20" display="← Panel"/>
    <hyperlink ref="H50" location="'Vistas'!B4" display="↑ Índice"/>
    <hyperlink ref="I50" location="'Panel'!B20" display="← Panel"/>
    <hyperlink ref="H58" location="'Vistas'!B4" display="↑ Índice"/>
    <hyperlink ref="I58" location="'Panel'!B20" display="← Panel"/>
    <hyperlink ref="H66" location="'Vistas'!B4" display="↑ Índice"/>
    <hyperlink ref="I66" location="'Panel'!B20" display="← Panel"/>
    <hyperlink ref="H73" location="'Vistas'!B4" display="↑ Índice"/>
    <hyperlink ref="I73" location="'Panel'!B20" display="← Panel"/>
    <hyperlink ref="H80" location="'Vistas'!B4" display="↑ Índice"/>
    <hyperlink ref="I80" location="'Panel'!B20" display="← Panel"/>
    <hyperlink ref="H87" location="'Vistas'!B4" display="↑ Índice"/>
    <hyperlink ref="I87" location="'Panel'!B20" display="← Panel"/>
    <hyperlink ref="H94" location="'Vistas'!B4" display="↑ Índice"/>
    <hyperlink ref="I94" location="'Panel'!B20" display="← Panel"/>
    <hyperlink ref="H101" location="'Vistas'!B4" display="↑ Índice"/>
    <hyperlink ref="I101" location="'Panel'!B20" display="←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F78"/>
    <pageSetUpPr fitToPage="true"/>
  </sheetPr>
  <dimension ref="B1:CS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97" min="6" style="0" width="2.6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180</v>
      </c>
    </row>
    <row r="3" customFormat="false" ht="15" hidden="false" customHeight="false" outlineLevel="0" collapsed="false">
      <c r="B3" s="55" t="s">
        <v>181</v>
      </c>
    </row>
    <row r="5" customFormat="false" ht="15" hidden="false" customHeight="false" outlineLevel="0" collapsed="false">
      <c r="F5" s="110" t="n">
        <f aca="false">F6</f>
        <v>45943</v>
      </c>
      <c r="G5" s="110" t="str">
        <f aca="false">IF(DAY(G6)&lt;=7,G6,"")</f>
        <v/>
      </c>
      <c r="H5" s="110" t="str">
        <f aca="false">IF(DAY(H6)&lt;=7,H6,"")</f>
        <v/>
      </c>
      <c r="I5" s="110" t="n">
        <f aca="false">IF(DAY(I6)&lt;=7,I6,"")</f>
        <v>45964</v>
      </c>
      <c r="J5" s="110" t="str">
        <f aca="false">IF(DAY(J6)&lt;=7,J6,"")</f>
        <v/>
      </c>
      <c r="K5" s="110" t="str">
        <f aca="false">IF(DAY(K6)&lt;=7,K6,"")</f>
        <v/>
      </c>
      <c r="L5" s="110" t="str">
        <f aca="false">IF(DAY(L6)&lt;=7,L6,"")</f>
        <v/>
      </c>
      <c r="M5" s="110" t="n">
        <f aca="false">IF(DAY(M6)&lt;=7,M6,"")</f>
        <v>45992</v>
      </c>
      <c r="N5" s="110" t="str">
        <f aca="false">IF(DAY(N6)&lt;=7,N6,"")</f>
        <v/>
      </c>
      <c r="O5" s="110" t="str">
        <f aca="false">IF(DAY(O6)&lt;=7,O6,"")</f>
        <v/>
      </c>
      <c r="P5" s="110" t="str">
        <f aca="false">IF(DAY(P6)&lt;=7,P6,"")</f>
        <v/>
      </c>
      <c r="Q5" s="110" t="str">
        <f aca="false">IF(DAY(Q6)&lt;=7,Q6,"")</f>
        <v/>
      </c>
      <c r="R5" s="110" t="n">
        <f aca="false">IF(DAY(R6)&lt;=7,R6,"")</f>
        <v>46027</v>
      </c>
      <c r="S5" s="110" t="str">
        <f aca="false">IF(DAY(S6)&lt;=7,S6,"")</f>
        <v/>
      </c>
      <c r="T5" s="110" t="str">
        <f aca="false">IF(DAY(T6)&lt;=7,T6,"")</f>
        <v/>
      </c>
      <c r="U5" s="110" t="str">
        <f aca="false">IF(DAY(U6)&lt;=7,U6,"")</f>
        <v/>
      </c>
      <c r="V5" s="110" t="n">
        <f aca="false">IF(DAY(V6)&lt;=7,V6,"")</f>
        <v>46055</v>
      </c>
      <c r="W5" s="110" t="str">
        <f aca="false">IF(DAY(W6)&lt;=7,W6,"")</f>
        <v/>
      </c>
      <c r="X5" s="110" t="str">
        <f aca="false">IF(DAY(X6)&lt;=7,X6,"")</f>
        <v/>
      </c>
      <c r="Y5" s="110" t="str">
        <f aca="false">IF(DAY(Y6)&lt;=7,Y6,"")</f>
        <v/>
      </c>
      <c r="Z5" s="110" t="n">
        <f aca="false">IF(DAY(Z6)&lt;=7,Z6,"")</f>
        <v>46083</v>
      </c>
      <c r="AA5" s="110" t="str">
        <f aca="false">IF(DAY(AA6)&lt;=7,AA6,"")</f>
        <v/>
      </c>
      <c r="AB5" s="110" t="str">
        <f aca="false">IF(DAY(AB6)&lt;=7,AB6,"")</f>
        <v/>
      </c>
      <c r="AC5" s="110" t="str">
        <f aca="false">IF(DAY(AC6)&lt;=7,AC6,"")</f>
        <v/>
      </c>
      <c r="AD5" s="110" t="str">
        <f aca="false">IF(DAY(AD6)&lt;=7,AD6,"")</f>
        <v/>
      </c>
      <c r="AE5" s="110" t="n">
        <f aca="false">IF(DAY(AE6)&lt;=7,AE6,"")</f>
        <v>46118</v>
      </c>
      <c r="AF5" s="110" t="str">
        <f aca="false">IF(DAY(AF6)&lt;=7,AF6,"")</f>
        <v/>
      </c>
      <c r="AG5" s="110" t="str">
        <f aca="false">IF(DAY(AG6)&lt;=7,AG6,"")</f>
        <v/>
      </c>
      <c r="AH5" s="110" t="str">
        <f aca="false">IF(DAY(AH6)&lt;=7,AH6,"")</f>
        <v/>
      </c>
      <c r="AI5" s="110" t="n">
        <f aca="false">IF(DAY(AI6)&lt;=7,AI6,"")</f>
        <v>46146</v>
      </c>
      <c r="AJ5" s="110" t="str">
        <f aca="false">IF(DAY(AJ6)&lt;=7,AJ6,"")</f>
        <v/>
      </c>
      <c r="AK5" s="110" t="str">
        <f aca="false">IF(DAY(AK6)&lt;=7,AK6,"")</f>
        <v/>
      </c>
      <c r="AL5" s="110" t="str">
        <f aca="false">IF(DAY(AL6)&lt;=7,AL6,"")</f>
        <v/>
      </c>
      <c r="AM5" s="110" t="n">
        <f aca="false">IF(DAY(AM6)&lt;=7,AM6,"")</f>
        <v>46174</v>
      </c>
      <c r="AN5" s="110" t="str">
        <f aca="false">IF(DAY(AN6)&lt;=7,AN6,"")</f>
        <v/>
      </c>
      <c r="AO5" s="110" t="str">
        <f aca="false">IF(DAY(AO6)&lt;=7,AO6,"")</f>
        <v/>
      </c>
      <c r="AP5" s="110" t="str">
        <f aca="false">IF(DAY(AP6)&lt;=7,AP6,"")</f>
        <v/>
      </c>
      <c r="AQ5" s="110" t="str">
        <f aca="false">IF(DAY(AQ6)&lt;=7,AQ6,"")</f>
        <v/>
      </c>
      <c r="AR5" s="110" t="n">
        <f aca="false">IF(DAY(AR6)&lt;=7,AR6,"")</f>
        <v>46209</v>
      </c>
      <c r="AS5" s="110" t="str">
        <f aca="false">IF(DAY(AS6)&lt;=7,AS6,"")</f>
        <v/>
      </c>
      <c r="AT5" s="110" t="str">
        <f aca="false">IF(DAY(AT6)&lt;=7,AT6,"")</f>
        <v/>
      </c>
      <c r="AU5" s="110" t="str">
        <f aca="false">IF(DAY(AU6)&lt;=7,AU6,"")</f>
        <v/>
      </c>
      <c r="AV5" s="110" t="n">
        <f aca="false">IF(DAY(AV6)&lt;=7,AV6,"")</f>
        <v>46237</v>
      </c>
      <c r="AW5" s="110" t="str">
        <f aca="false">IF(DAY(AW6)&lt;=7,AW6,"")</f>
        <v/>
      </c>
      <c r="AX5" s="110" t="str">
        <f aca="false">IF(DAY(AX6)&lt;=7,AX6,"")</f>
        <v/>
      </c>
      <c r="AY5" s="110" t="str">
        <f aca="false">IF(DAY(AY6)&lt;=7,AY6,"")</f>
        <v/>
      </c>
      <c r="AZ5" s="110" t="str">
        <f aca="false">IF(DAY(AZ6)&lt;=7,AZ6,"")</f>
        <v/>
      </c>
      <c r="BA5" s="110" t="n">
        <f aca="false">IF(DAY(BA6)&lt;=7,BA6,"")</f>
        <v>46272</v>
      </c>
      <c r="BB5" s="110" t="str">
        <f aca="false">IF(DAY(BB6)&lt;=7,BB6,"")</f>
        <v/>
      </c>
      <c r="BC5" s="110" t="str">
        <f aca="false">IF(DAY(BC6)&lt;=7,BC6,"")</f>
        <v/>
      </c>
      <c r="BD5" s="110" t="str">
        <f aca="false">IF(DAY(BD6)&lt;=7,BD6,"")</f>
        <v/>
      </c>
      <c r="BE5" s="110" t="n">
        <f aca="false">IF(DAY(BE6)&lt;=7,BE6,"")</f>
        <v>46300</v>
      </c>
      <c r="BF5" s="110" t="str">
        <f aca="false">IF(DAY(BF6)&lt;=7,BF6,"")</f>
        <v/>
      </c>
      <c r="BG5" s="110" t="str">
        <f aca="false">IF(DAY(BG6)&lt;=7,BG6,"")</f>
        <v/>
      </c>
      <c r="BH5" s="110" t="str">
        <f aca="false">IF(DAY(BH6)&lt;=7,BH6,"")</f>
        <v/>
      </c>
      <c r="BI5" s="110" t="n">
        <f aca="false">IF(DAY(BI6)&lt;=7,BI6,"")</f>
        <v>46328</v>
      </c>
      <c r="BJ5" s="110" t="str">
        <f aca="false">IF(DAY(BJ6)&lt;=7,BJ6,"")</f>
        <v/>
      </c>
      <c r="BK5" s="110" t="str">
        <f aca="false">IF(DAY(BK6)&lt;=7,BK6,"")</f>
        <v/>
      </c>
      <c r="BL5" s="110" t="str">
        <f aca="false">IF(DAY(BL6)&lt;=7,BL6,"")</f>
        <v/>
      </c>
      <c r="BM5" s="110" t="str">
        <f aca="false">IF(DAY(BM6)&lt;=7,BM6,"")</f>
        <v/>
      </c>
      <c r="BN5" s="110" t="n">
        <f aca="false">IF(DAY(BN6)&lt;=7,BN6,"")</f>
        <v>46363</v>
      </c>
      <c r="BO5" s="110" t="str">
        <f aca="false">IF(DAY(BO6)&lt;=7,BO6,"")</f>
        <v/>
      </c>
      <c r="BP5" s="110" t="str">
        <f aca="false">IF(DAY(BP6)&lt;=7,BP6,"")</f>
        <v/>
      </c>
      <c r="BQ5" s="110" t="str">
        <f aca="false">IF(DAY(BQ6)&lt;=7,BQ6,"")</f>
        <v/>
      </c>
      <c r="BR5" s="110" t="n">
        <f aca="false">IF(DAY(BR6)&lt;=7,BR6,"")</f>
        <v>46391</v>
      </c>
      <c r="BS5" s="110" t="str">
        <f aca="false">IF(DAY(BS6)&lt;=7,BS6,"")</f>
        <v/>
      </c>
      <c r="BT5" s="110" t="str">
        <f aca="false">IF(DAY(BT6)&lt;=7,BT6,"")</f>
        <v/>
      </c>
      <c r="BU5" s="110" t="str">
        <f aca="false">IF(DAY(BU6)&lt;=7,BU6,"")</f>
        <v/>
      </c>
      <c r="BV5" s="110" t="n">
        <f aca="false">IF(DAY(BV6)&lt;=7,BV6,"")</f>
        <v>46419</v>
      </c>
      <c r="BW5" s="110" t="str">
        <f aca="false">IF(DAY(BW6)&lt;=7,BW6,"")</f>
        <v/>
      </c>
      <c r="BX5" s="110" t="str">
        <f aca="false">IF(DAY(BX6)&lt;=7,BX6,"")</f>
        <v/>
      </c>
      <c r="BY5" s="110" t="str">
        <f aca="false">IF(DAY(BY6)&lt;=7,BY6,"")</f>
        <v/>
      </c>
      <c r="BZ5" s="110" t="n">
        <f aca="false">IF(DAY(BZ6)&lt;=7,BZ6,"")</f>
        <v>46447</v>
      </c>
      <c r="CA5" s="110" t="str">
        <f aca="false">IF(DAY(CA6)&lt;=7,CA6,"")</f>
        <v/>
      </c>
      <c r="CB5" s="110" t="str">
        <f aca="false">IF(DAY(CB6)&lt;=7,CB6,"")</f>
        <v/>
      </c>
      <c r="CC5" s="110" t="str">
        <f aca="false">IF(DAY(CC6)&lt;=7,CC6,"")</f>
        <v/>
      </c>
      <c r="CD5" s="110" t="str">
        <f aca="false">IF(DAY(CD6)&lt;=7,CD6,"")</f>
        <v/>
      </c>
      <c r="CE5" s="110" t="n">
        <f aca="false">IF(DAY(CE6)&lt;=7,CE6,"")</f>
        <v>46482</v>
      </c>
      <c r="CF5" s="110" t="str">
        <f aca="false">IF(DAY(CF6)&lt;=7,CF6,"")</f>
        <v/>
      </c>
      <c r="CG5" s="110" t="str">
        <f aca="false">IF(DAY(CG6)&lt;=7,CG6,"")</f>
        <v/>
      </c>
      <c r="CH5" s="110" t="str">
        <f aca="false">IF(DAY(CH6)&lt;=7,CH6,"")</f>
        <v/>
      </c>
      <c r="CI5" s="110" t="n">
        <f aca="false">IF(DAY(CI6)&lt;=7,CI6,"")</f>
        <v>46510</v>
      </c>
      <c r="CJ5" s="110" t="str">
        <f aca="false">IF(DAY(CJ6)&lt;=7,CJ6,"")</f>
        <v/>
      </c>
      <c r="CK5" s="110" t="str">
        <f aca="false">IF(DAY(CK6)&lt;=7,CK6,"")</f>
        <v/>
      </c>
      <c r="CL5" s="110" t="str">
        <f aca="false">IF(DAY(CL6)&lt;=7,CL6,"")</f>
        <v/>
      </c>
      <c r="CM5" s="110" t="str">
        <f aca="false">IF(DAY(CM6)&lt;=7,CM6,"")</f>
        <v/>
      </c>
      <c r="CN5" s="110" t="n">
        <f aca="false">IF(DAY(CN6)&lt;=7,CN6,"")</f>
        <v>46545</v>
      </c>
      <c r="CO5" s="110" t="str">
        <f aca="false">IF(DAY(CO6)&lt;=7,CO6,"")</f>
        <v/>
      </c>
      <c r="CP5" s="110" t="str">
        <f aca="false">IF(DAY(CP6)&lt;=7,CP6,"")</f>
        <v/>
      </c>
      <c r="CQ5" s="110" t="str">
        <f aca="false">IF(DAY(CQ6)&lt;=7,CQ6,"")</f>
        <v/>
      </c>
      <c r="CR5" s="110" t="n">
        <f aca="false">IF(DAY(CR6)&lt;=7,CR6,"")</f>
        <v>46573</v>
      </c>
      <c r="CS5" s="110" t="str">
        <f aca="false">IF(DAY(CS6)&lt;=7,CS6,"")</f>
        <v/>
      </c>
    </row>
    <row r="6" customFormat="false" ht="21.75" hidden="false" customHeight="true" outlineLevel="0" collapsed="false">
      <c r="F6" s="111" t="n">
        <f aca="false">Inicio-WEEKDAY(Inicio,3)</f>
        <v>45943</v>
      </c>
      <c r="G6" s="111" t="n">
        <f aca="false">F6+7</f>
        <v>45950</v>
      </c>
      <c r="H6" s="111" t="n">
        <f aca="false">G6+7</f>
        <v>45957</v>
      </c>
      <c r="I6" s="111" t="n">
        <f aca="false">H6+7</f>
        <v>45964</v>
      </c>
      <c r="J6" s="111" t="n">
        <f aca="false">I6+7</f>
        <v>45971</v>
      </c>
      <c r="K6" s="111" t="n">
        <f aca="false">J6+7</f>
        <v>45978</v>
      </c>
      <c r="L6" s="111" t="n">
        <f aca="false">K6+7</f>
        <v>45985</v>
      </c>
      <c r="M6" s="111" t="n">
        <f aca="false">L6+7</f>
        <v>45992</v>
      </c>
      <c r="N6" s="111" t="n">
        <f aca="false">M6+7</f>
        <v>45999</v>
      </c>
      <c r="O6" s="111" t="n">
        <f aca="false">N6+7</f>
        <v>46006</v>
      </c>
      <c r="P6" s="111" t="n">
        <f aca="false">O6+7</f>
        <v>46013</v>
      </c>
      <c r="Q6" s="111" t="n">
        <f aca="false">P6+7</f>
        <v>46020</v>
      </c>
      <c r="R6" s="111" t="n">
        <f aca="false">Q6+7</f>
        <v>46027</v>
      </c>
      <c r="S6" s="111" t="n">
        <f aca="false">R6+7</f>
        <v>46034</v>
      </c>
      <c r="T6" s="111" t="n">
        <f aca="false">S6+7</f>
        <v>46041</v>
      </c>
      <c r="U6" s="111" t="n">
        <f aca="false">T6+7</f>
        <v>46048</v>
      </c>
      <c r="V6" s="111" t="n">
        <f aca="false">U6+7</f>
        <v>46055</v>
      </c>
      <c r="W6" s="111" t="n">
        <f aca="false">V6+7</f>
        <v>46062</v>
      </c>
      <c r="X6" s="111" t="n">
        <f aca="false">W6+7</f>
        <v>46069</v>
      </c>
      <c r="Y6" s="111" t="n">
        <f aca="false">X6+7</f>
        <v>46076</v>
      </c>
      <c r="Z6" s="111" t="n">
        <f aca="false">Y6+7</f>
        <v>46083</v>
      </c>
      <c r="AA6" s="111" t="n">
        <f aca="false">Z6+7</f>
        <v>46090</v>
      </c>
      <c r="AB6" s="111" t="n">
        <f aca="false">AA6+7</f>
        <v>46097</v>
      </c>
      <c r="AC6" s="111" t="n">
        <f aca="false">AB6+7</f>
        <v>46104</v>
      </c>
      <c r="AD6" s="111" t="n">
        <f aca="false">AC6+7</f>
        <v>46111</v>
      </c>
      <c r="AE6" s="111" t="n">
        <f aca="false">AD6+7</f>
        <v>46118</v>
      </c>
      <c r="AF6" s="111" t="n">
        <f aca="false">AE6+7</f>
        <v>46125</v>
      </c>
      <c r="AG6" s="111" t="n">
        <f aca="false">AF6+7</f>
        <v>46132</v>
      </c>
      <c r="AH6" s="111" t="n">
        <f aca="false">AG6+7</f>
        <v>46139</v>
      </c>
      <c r="AI6" s="111" t="n">
        <f aca="false">AH6+7</f>
        <v>46146</v>
      </c>
      <c r="AJ6" s="111" t="n">
        <f aca="false">AI6+7</f>
        <v>46153</v>
      </c>
      <c r="AK6" s="111" t="n">
        <f aca="false">AJ6+7</f>
        <v>46160</v>
      </c>
      <c r="AL6" s="111" t="n">
        <f aca="false">AK6+7</f>
        <v>46167</v>
      </c>
      <c r="AM6" s="111" t="n">
        <f aca="false">AL6+7</f>
        <v>46174</v>
      </c>
      <c r="AN6" s="111" t="n">
        <f aca="false">AM6+7</f>
        <v>46181</v>
      </c>
      <c r="AO6" s="111" t="n">
        <f aca="false">AN6+7</f>
        <v>46188</v>
      </c>
      <c r="AP6" s="111" t="n">
        <f aca="false">AO6+7</f>
        <v>46195</v>
      </c>
      <c r="AQ6" s="111" t="n">
        <f aca="false">AP6+7</f>
        <v>46202</v>
      </c>
      <c r="AR6" s="111" t="n">
        <f aca="false">AQ6+7</f>
        <v>46209</v>
      </c>
      <c r="AS6" s="111" t="n">
        <f aca="false">AR6+7</f>
        <v>46216</v>
      </c>
      <c r="AT6" s="111" t="n">
        <f aca="false">AS6+7</f>
        <v>46223</v>
      </c>
      <c r="AU6" s="111" t="n">
        <f aca="false">AT6+7</f>
        <v>46230</v>
      </c>
      <c r="AV6" s="111" t="n">
        <f aca="false">AU6+7</f>
        <v>46237</v>
      </c>
      <c r="AW6" s="111" t="n">
        <f aca="false">AV6+7</f>
        <v>46244</v>
      </c>
      <c r="AX6" s="111" t="n">
        <f aca="false">AW6+7</f>
        <v>46251</v>
      </c>
      <c r="AY6" s="111" t="n">
        <f aca="false">AX6+7</f>
        <v>46258</v>
      </c>
      <c r="AZ6" s="111" t="n">
        <f aca="false">AY6+7</f>
        <v>46265</v>
      </c>
      <c r="BA6" s="111" t="n">
        <f aca="false">AZ6+7</f>
        <v>46272</v>
      </c>
      <c r="BB6" s="111" t="n">
        <f aca="false">BA6+7</f>
        <v>46279</v>
      </c>
      <c r="BC6" s="111" t="n">
        <f aca="false">BB6+7</f>
        <v>46286</v>
      </c>
      <c r="BD6" s="111" t="n">
        <f aca="false">BC6+7</f>
        <v>46293</v>
      </c>
      <c r="BE6" s="111" t="n">
        <f aca="false">BD6+7</f>
        <v>46300</v>
      </c>
      <c r="BF6" s="111" t="n">
        <f aca="false">BE6+7</f>
        <v>46307</v>
      </c>
      <c r="BG6" s="111" t="n">
        <f aca="false">BF6+7</f>
        <v>46314</v>
      </c>
      <c r="BH6" s="111" t="n">
        <f aca="false">BG6+7</f>
        <v>46321</v>
      </c>
      <c r="BI6" s="111" t="n">
        <f aca="false">BH6+7</f>
        <v>46328</v>
      </c>
      <c r="BJ6" s="111" t="n">
        <f aca="false">BI6+7</f>
        <v>46335</v>
      </c>
      <c r="BK6" s="111" t="n">
        <f aca="false">BJ6+7</f>
        <v>46342</v>
      </c>
      <c r="BL6" s="111" t="n">
        <f aca="false">BK6+7</f>
        <v>46349</v>
      </c>
      <c r="BM6" s="111" t="n">
        <f aca="false">BL6+7</f>
        <v>46356</v>
      </c>
      <c r="BN6" s="111" t="n">
        <f aca="false">BM6+7</f>
        <v>46363</v>
      </c>
      <c r="BO6" s="111" t="n">
        <f aca="false">BN6+7</f>
        <v>46370</v>
      </c>
      <c r="BP6" s="111" t="n">
        <f aca="false">BO6+7</f>
        <v>46377</v>
      </c>
      <c r="BQ6" s="111" t="n">
        <f aca="false">BP6+7</f>
        <v>46384</v>
      </c>
      <c r="BR6" s="111" t="n">
        <f aca="false">BQ6+7</f>
        <v>46391</v>
      </c>
      <c r="BS6" s="111" t="n">
        <f aca="false">BR6+7</f>
        <v>46398</v>
      </c>
      <c r="BT6" s="111" t="n">
        <f aca="false">BS6+7</f>
        <v>46405</v>
      </c>
      <c r="BU6" s="111" t="n">
        <f aca="false">BT6+7</f>
        <v>46412</v>
      </c>
      <c r="BV6" s="111" t="n">
        <f aca="false">BU6+7</f>
        <v>46419</v>
      </c>
      <c r="BW6" s="111" t="n">
        <f aca="false">BV6+7</f>
        <v>46426</v>
      </c>
      <c r="BX6" s="111" t="n">
        <f aca="false">BW6+7</f>
        <v>46433</v>
      </c>
      <c r="BY6" s="111" t="n">
        <f aca="false">BX6+7</f>
        <v>46440</v>
      </c>
      <c r="BZ6" s="111" t="n">
        <f aca="false">BY6+7</f>
        <v>46447</v>
      </c>
      <c r="CA6" s="111" t="n">
        <f aca="false">BZ6+7</f>
        <v>46454</v>
      </c>
      <c r="CB6" s="111" t="n">
        <f aca="false">CA6+7</f>
        <v>46461</v>
      </c>
      <c r="CC6" s="111" t="n">
        <f aca="false">CB6+7</f>
        <v>46468</v>
      </c>
      <c r="CD6" s="111" t="n">
        <f aca="false">CC6+7</f>
        <v>46475</v>
      </c>
      <c r="CE6" s="111" t="n">
        <f aca="false">CD6+7</f>
        <v>46482</v>
      </c>
      <c r="CF6" s="111" t="n">
        <f aca="false">CE6+7</f>
        <v>46489</v>
      </c>
      <c r="CG6" s="111" t="n">
        <f aca="false">CF6+7</f>
        <v>46496</v>
      </c>
      <c r="CH6" s="111" t="n">
        <f aca="false">CG6+7</f>
        <v>46503</v>
      </c>
      <c r="CI6" s="111" t="n">
        <f aca="false">CH6+7</f>
        <v>46510</v>
      </c>
      <c r="CJ6" s="111" t="n">
        <f aca="false">CI6+7</f>
        <v>46517</v>
      </c>
      <c r="CK6" s="111" t="n">
        <f aca="false">CJ6+7</f>
        <v>46524</v>
      </c>
      <c r="CL6" s="111" t="n">
        <f aca="false">CK6+7</f>
        <v>46531</v>
      </c>
      <c r="CM6" s="111" t="n">
        <f aca="false">CL6+7</f>
        <v>46538</v>
      </c>
      <c r="CN6" s="111" t="n">
        <f aca="false">CM6+7</f>
        <v>46545</v>
      </c>
      <c r="CO6" s="111" t="n">
        <f aca="false">CN6+7</f>
        <v>46552</v>
      </c>
      <c r="CP6" s="111" t="n">
        <f aca="false">CO6+7</f>
        <v>46559</v>
      </c>
      <c r="CQ6" s="111" t="n">
        <f aca="false">CP6+7</f>
        <v>46566</v>
      </c>
      <c r="CR6" s="111" t="n">
        <f aca="false">CQ6+7</f>
        <v>46573</v>
      </c>
      <c r="CS6" s="111" t="n">
        <f aca="false">CR6+7</f>
        <v>46580</v>
      </c>
    </row>
    <row r="7" customFormat="false" ht="15" hidden="false" customHeight="false" outlineLevel="0" collapsed="false">
      <c r="B7" s="112" t="s">
        <v>32</v>
      </c>
      <c r="C7" s="112" t="s">
        <v>182</v>
      </c>
      <c r="D7" s="112" t="s">
        <v>34</v>
      </c>
      <c r="E7" s="112" t="s">
        <v>36</v>
      </c>
      <c r="F7" s="113" t="str">
        <f aca="false">IF(AND(FechaRef&gt;=F6,FechaRef&lt;F6+7),"▼","")</f>
        <v/>
      </c>
      <c r="G7" s="113" t="str">
        <f aca="false">IF(AND(FechaRef&gt;=G6,FechaRef&lt;G6+7),"▼","")</f>
        <v/>
      </c>
      <c r="H7" s="113" t="str">
        <f aca="false">IF(AND(FechaRef&gt;=H6,FechaRef&lt;H6+7),"▼","")</f>
        <v/>
      </c>
      <c r="I7" s="113" t="str">
        <f aca="false">IF(AND(FechaRef&gt;=I6,FechaRef&lt;I6+7),"▼","")</f>
        <v/>
      </c>
      <c r="J7" s="113" t="str">
        <f aca="false">IF(AND(FechaRef&gt;=J6,FechaRef&lt;J6+7),"▼","")</f>
        <v/>
      </c>
      <c r="K7" s="113" t="str">
        <f aca="false">IF(AND(FechaRef&gt;=K6,FechaRef&lt;K6+7),"▼","")</f>
        <v/>
      </c>
      <c r="L7" s="113" t="str">
        <f aca="false">IF(AND(FechaRef&gt;=L6,FechaRef&lt;L6+7),"▼","")</f>
        <v/>
      </c>
      <c r="M7" s="113" t="str">
        <f aca="false">IF(AND(FechaRef&gt;=M6,FechaRef&lt;M6+7),"▼","")</f>
        <v/>
      </c>
      <c r="N7" s="113" t="str">
        <f aca="false">IF(AND(FechaRef&gt;=N6,FechaRef&lt;N6+7),"▼","")</f>
        <v/>
      </c>
      <c r="O7" s="113" t="str">
        <f aca="false">IF(AND(FechaRef&gt;=O6,FechaRef&lt;O6+7),"▼","")</f>
        <v/>
      </c>
      <c r="P7" s="113" t="str">
        <f aca="false">IF(AND(FechaRef&gt;=P6,FechaRef&lt;P6+7),"▼","")</f>
        <v/>
      </c>
      <c r="Q7" s="113" t="str">
        <f aca="false">IF(AND(FechaRef&gt;=Q6,FechaRef&lt;Q6+7),"▼","")</f>
        <v/>
      </c>
      <c r="R7" s="113" t="str">
        <f aca="false">IF(AND(FechaRef&gt;=R6,FechaRef&lt;R6+7),"▼","")</f>
        <v/>
      </c>
      <c r="S7" s="113" t="str">
        <f aca="false">IF(AND(FechaRef&gt;=S6,FechaRef&lt;S6+7),"▼","")</f>
        <v/>
      </c>
      <c r="T7" s="113" t="str">
        <f aca="false">IF(AND(FechaRef&gt;=T6,FechaRef&lt;T6+7),"▼","")</f>
        <v/>
      </c>
      <c r="U7" s="113" t="str">
        <f aca="false">IF(AND(FechaRef&gt;=U6,FechaRef&lt;U6+7),"▼","")</f>
        <v/>
      </c>
      <c r="V7" s="113" t="str">
        <f aca="false">IF(AND(FechaRef&gt;=V6,FechaRef&lt;V6+7),"▼","")</f>
        <v/>
      </c>
      <c r="W7" s="113" t="str">
        <f aca="false">IF(AND(FechaRef&gt;=W6,FechaRef&lt;W6+7),"▼","")</f>
        <v/>
      </c>
      <c r="X7" s="113" t="str">
        <f aca="false">IF(AND(FechaRef&gt;=X6,FechaRef&lt;X6+7),"▼","")</f>
        <v/>
      </c>
      <c r="Y7" s="113" t="str">
        <f aca="false">IF(AND(FechaRef&gt;=Y6,FechaRef&lt;Y6+7),"▼","")</f>
        <v/>
      </c>
      <c r="Z7" s="113" t="str">
        <f aca="false">IF(AND(FechaRef&gt;=Z6,FechaRef&lt;Z6+7),"▼","")</f>
        <v/>
      </c>
      <c r="AA7" s="113" t="str">
        <f aca="false">IF(AND(FechaRef&gt;=AA6,FechaRef&lt;AA6+7),"▼","")</f>
        <v/>
      </c>
      <c r="AB7" s="113" t="str">
        <f aca="false">IF(AND(FechaRef&gt;=AB6,FechaRef&lt;AB6+7),"▼","")</f>
        <v/>
      </c>
      <c r="AC7" s="113" t="str">
        <f aca="false">IF(AND(FechaRef&gt;=AC6,FechaRef&lt;AC6+7),"▼","")</f>
        <v/>
      </c>
      <c r="AD7" s="113" t="str">
        <f aca="false">IF(AND(FechaRef&gt;=AD6,FechaRef&lt;AD6+7),"▼","")</f>
        <v/>
      </c>
      <c r="AE7" s="113" t="str">
        <f aca="false">IF(AND(FechaRef&gt;=AE6,FechaRef&lt;AE6+7),"▼","")</f>
        <v/>
      </c>
      <c r="AF7" s="113" t="str">
        <f aca="false">IF(AND(FechaRef&gt;=AF6,FechaRef&lt;AF6+7),"▼","")</f>
        <v/>
      </c>
      <c r="AG7" s="113" t="str">
        <f aca="false">IF(AND(FechaRef&gt;=AG6,FechaRef&lt;AG6+7),"▼","")</f>
        <v/>
      </c>
      <c r="AH7" s="113" t="str">
        <f aca="false">IF(AND(FechaRef&gt;=AH6,FechaRef&lt;AH6+7),"▼","")</f>
        <v/>
      </c>
      <c r="AI7" s="113" t="str">
        <f aca="false">IF(AND(FechaRef&gt;=AI6,FechaRef&lt;AI6+7),"▼","")</f>
        <v/>
      </c>
      <c r="AJ7" s="113" t="str">
        <f aca="false">IF(AND(FechaRef&gt;=AJ6,FechaRef&lt;AJ6+7),"▼","")</f>
        <v/>
      </c>
      <c r="AK7" s="113" t="str">
        <f aca="false">IF(AND(FechaRef&gt;=AK6,FechaRef&lt;AK6+7),"▼","")</f>
        <v/>
      </c>
      <c r="AL7" s="113" t="str">
        <f aca="false">IF(AND(FechaRef&gt;=AL6,FechaRef&lt;AL6+7),"▼","")</f>
        <v/>
      </c>
      <c r="AM7" s="113" t="str">
        <f aca="false">IF(AND(FechaRef&gt;=AM6,FechaRef&lt;AM6+7),"▼","")</f>
        <v/>
      </c>
      <c r="AN7" s="113" t="str">
        <f aca="false">IF(AND(FechaRef&gt;=AN6,FechaRef&lt;AN6+7),"▼","")</f>
        <v/>
      </c>
      <c r="AO7" s="113" t="str">
        <f aca="false">IF(AND(FechaRef&gt;=AO6,FechaRef&lt;AO6+7),"▼","")</f>
        <v/>
      </c>
      <c r="AP7" s="113" t="str">
        <f aca="false">IF(AND(FechaRef&gt;=AP6,FechaRef&lt;AP6+7),"▼","")</f>
        <v/>
      </c>
      <c r="AQ7" s="113" t="str">
        <f aca="false">IF(AND(FechaRef&gt;=AQ6,FechaRef&lt;AQ6+7),"▼","")</f>
        <v/>
      </c>
      <c r="AR7" s="113" t="str">
        <f aca="false">IF(AND(FechaRef&gt;=AR6,FechaRef&lt;AR6+7),"▼","")</f>
        <v/>
      </c>
      <c r="AS7" s="113" t="str">
        <f aca="false">IF(AND(FechaRef&gt;=AS6,FechaRef&lt;AS6+7),"▼","")</f>
        <v/>
      </c>
      <c r="AT7" s="113" t="str">
        <f aca="false">IF(AND(FechaRef&gt;=AT6,FechaRef&lt;AT6+7),"▼","")</f>
        <v/>
      </c>
      <c r="AU7" s="113" t="str">
        <f aca="false">IF(AND(FechaRef&gt;=AU6,FechaRef&lt;AU6+7),"▼","")</f>
        <v/>
      </c>
      <c r="AV7" s="113" t="str">
        <f aca="false">IF(AND(FechaRef&gt;=AV6,FechaRef&lt;AV6+7),"▼","")</f>
        <v/>
      </c>
      <c r="AW7" s="113" t="str">
        <f aca="false">IF(AND(FechaRef&gt;=AW6,FechaRef&lt;AW6+7),"▼","")</f>
        <v/>
      </c>
      <c r="AX7" s="113" t="str">
        <f aca="false">IF(AND(FechaRef&gt;=AX6,FechaRef&lt;AX6+7),"▼","")</f>
        <v/>
      </c>
      <c r="AY7" s="113" t="str">
        <f aca="false">IF(AND(FechaRef&gt;=AY6,FechaRef&lt;AY6+7),"▼","")</f>
        <v/>
      </c>
      <c r="AZ7" s="113" t="str">
        <f aca="false">IF(AND(FechaRef&gt;=AZ6,FechaRef&lt;AZ6+7),"▼","")</f>
        <v/>
      </c>
      <c r="BA7" s="113" t="str">
        <f aca="false">IF(AND(FechaRef&gt;=BA6,FechaRef&lt;BA6+7),"▼","")</f>
        <v/>
      </c>
      <c r="BB7" s="113" t="str">
        <f aca="false">IF(AND(FechaRef&gt;=BB6,FechaRef&lt;BB6+7),"▼","")</f>
        <v/>
      </c>
      <c r="BC7" s="113" t="str">
        <f aca="false">IF(AND(FechaRef&gt;=BC6,FechaRef&lt;BC6+7),"▼","")</f>
        <v/>
      </c>
      <c r="BD7" s="113" t="str">
        <f aca="false">IF(AND(FechaRef&gt;=BD6,FechaRef&lt;BD6+7),"▼","")</f>
        <v/>
      </c>
      <c r="BE7" s="113" t="str">
        <f aca="false">IF(AND(FechaRef&gt;=BE6,FechaRef&lt;BE6+7),"▼","")</f>
        <v/>
      </c>
      <c r="BF7" s="113" t="str">
        <f aca="false">IF(AND(FechaRef&gt;=BF6,FechaRef&lt;BF6+7),"▼","")</f>
        <v>▼</v>
      </c>
      <c r="BG7" s="113" t="str">
        <f aca="false">IF(AND(FechaRef&gt;=BG6,FechaRef&lt;BG6+7),"▼","")</f>
        <v/>
      </c>
      <c r="BH7" s="113" t="str">
        <f aca="false">IF(AND(FechaRef&gt;=BH6,FechaRef&lt;BH6+7),"▼","")</f>
        <v/>
      </c>
      <c r="BI7" s="113" t="str">
        <f aca="false">IF(AND(FechaRef&gt;=BI6,FechaRef&lt;BI6+7),"▼","")</f>
        <v/>
      </c>
      <c r="BJ7" s="113" t="str">
        <f aca="false">IF(AND(FechaRef&gt;=BJ6,FechaRef&lt;BJ6+7),"▼","")</f>
        <v/>
      </c>
      <c r="BK7" s="113" t="str">
        <f aca="false">IF(AND(FechaRef&gt;=BK6,FechaRef&lt;BK6+7),"▼","")</f>
        <v/>
      </c>
      <c r="BL7" s="113" t="str">
        <f aca="false">IF(AND(FechaRef&gt;=BL6,FechaRef&lt;BL6+7),"▼","")</f>
        <v/>
      </c>
      <c r="BM7" s="113" t="str">
        <f aca="false">IF(AND(FechaRef&gt;=BM6,FechaRef&lt;BM6+7),"▼","")</f>
        <v/>
      </c>
      <c r="BN7" s="113" t="str">
        <f aca="false">IF(AND(FechaRef&gt;=BN6,FechaRef&lt;BN6+7),"▼","")</f>
        <v/>
      </c>
      <c r="BO7" s="113" t="str">
        <f aca="false">IF(AND(FechaRef&gt;=BO6,FechaRef&lt;BO6+7),"▼","")</f>
        <v/>
      </c>
      <c r="BP7" s="113" t="str">
        <f aca="false">IF(AND(FechaRef&gt;=BP6,FechaRef&lt;BP6+7),"▼","")</f>
        <v/>
      </c>
      <c r="BQ7" s="113" t="str">
        <f aca="false">IF(AND(FechaRef&gt;=BQ6,FechaRef&lt;BQ6+7),"▼","")</f>
        <v/>
      </c>
      <c r="BR7" s="113" t="str">
        <f aca="false">IF(AND(FechaRef&gt;=BR6,FechaRef&lt;BR6+7),"▼","")</f>
        <v/>
      </c>
      <c r="BS7" s="113" t="str">
        <f aca="false">IF(AND(FechaRef&gt;=BS6,FechaRef&lt;BS6+7),"▼","")</f>
        <v/>
      </c>
      <c r="BT7" s="113" t="str">
        <f aca="false">IF(AND(FechaRef&gt;=BT6,FechaRef&lt;BT6+7),"▼","")</f>
        <v/>
      </c>
      <c r="BU7" s="113" t="str">
        <f aca="false">IF(AND(FechaRef&gt;=BU6,FechaRef&lt;BU6+7),"▼","")</f>
        <v/>
      </c>
      <c r="BV7" s="113" t="str">
        <f aca="false">IF(AND(FechaRef&gt;=BV6,FechaRef&lt;BV6+7),"▼","")</f>
        <v/>
      </c>
      <c r="BW7" s="113" t="str">
        <f aca="false">IF(AND(FechaRef&gt;=BW6,FechaRef&lt;BW6+7),"▼","")</f>
        <v/>
      </c>
      <c r="BX7" s="113" t="str">
        <f aca="false">IF(AND(FechaRef&gt;=BX6,FechaRef&lt;BX6+7),"▼","")</f>
        <v/>
      </c>
      <c r="BY7" s="113" t="str">
        <f aca="false">IF(AND(FechaRef&gt;=BY6,FechaRef&lt;BY6+7),"▼","")</f>
        <v/>
      </c>
      <c r="BZ7" s="113" t="str">
        <f aca="false">IF(AND(FechaRef&gt;=BZ6,FechaRef&lt;BZ6+7),"▼","")</f>
        <v/>
      </c>
      <c r="CA7" s="113" t="str">
        <f aca="false">IF(AND(FechaRef&gt;=CA6,FechaRef&lt;CA6+7),"▼","")</f>
        <v/>
      </c>
      <c r="CB7" s="113" t="str">
        <f aca="false">IF(AND(FechaRef&gt;=CB6,FechaRef&lt;CB6+7),"▼","")</f>
        <v/>
      </c>
      <c r="CC7" s="113" t="str">
        <f aca="false">IF(AND(FechaRef&gt;=CC6,FechaRef&lt;CC6+7),"▼","")</f>
        <v/>
      </c>
      <c r="CD7" s="113" t="str">
        <f aca="false">IF(AND(FechaRef&gt;=CD6,FechaRef&lt;CD6+7),"▼","")</f>
        <v/>
      </c>
      <c r="CE7" s="113" t="str">
        <f aca="false">IF(AND(FechaRef&gt;=CE6,FechaRef&lt;CE6+7),"▼","")</f>
        <v/>
      </c>
      <c r="CF7" s="113" t="str">
        <f aca="false">IF(AND(FechaRef&gt;=CF6,FechaRef&lt;CF6+7),"▼","")</f>
        <v/>
      </c>
      <c r="CG7" s="113" t="str">
        <f aca="false">IF(AND(FechaRef&gt;=CG6,FechaRef&lt;CG6+7),"▼","")</f>
        <v/>
      </c>
      <c r="CH7" s="113" t="str">
        <f aca="false">IF(AND(FechaRef&gt;=CH6,FechaRef&lt;CH6+7),"▼","")</f>
        <v/>
      </c>
      <c r="CI7" s="113" t="str">
        <f aca="false">IF(AND(FechaRef&gt;=CI6,FechaRef&lt;CI6+7),"▼","")</f>
        <v/>
      </c>
      <c r="CJ7" s="113" t="str">
        <f aca="false">IF(AND(FechaRef&gt;=CJ6,FechaRef&lt;CJ6+7),"▼","")</f>
        <v/>
      </c>
      <c r="CK7" s="113" t="str">
        <f aca="false">IF(AND(FechaRef&gt;=CK6,FechaRef&lt;CK6+7),"▼","")</f>
        <v/>
      </c>
      <c r="CL7" s="113" t="str">
        <f aca="false">IF(AND(FechaRef&gt;=CL6,FechaRef&lt;CL6+7),"▼","")</f>
        <v/>
      </c>
      <c r="CM7" s="113" t="str">
        <f aca="false">IF(AND(FechaRef&gt;=CM6,FechaRef&lt;CM6+7),"▼","")</f>
        <v/>
      </c>
      <c r="CN7" s="113" t="str">
        <f aca="false">IF(AND(FechaRef&gt;=CN6,FechaRef&lt;CN6+7),"▼","")</f>
        <v/>
      </c>
      <c r="CO7" s="113" t="str">
        <f aca="false">IF(AND(FechaRef&gt;=CO6,FechaRef&lt;CO6+7),"▼","")</f>
        <v/>
      </c>
      <c r="CP7" s="113" t="str">
        <f aca="false">IF(AND(FechaRef&gt;=CP6,FechaRef&lt;CP6+7),"▼","")</f>
        <v/>
      </c>
      <c r="CQ7" s="113" t="str">
        <f aca="false">IF(AND(FechaRef&gt;=CQ6,FechaRef&lt;CQ6+7),"▼","")</f>
        <v/>
      </c>
      <c r="CR7" s="113" t="str">
        <f aca="false">IF(AND(FechaRef&gt;=CR6,FechaRef&lt;CR6+7),"▼","")</f>
        <v/>
      </c>
      <c r="CS7" s="113" t="str">
        <f aca="false">IF(AND(FechaRef&gt;=CS6,FechaRef&lt;CS6+7),"▼","")</f>
        <v/>
      </c>
    </row>
    <row r="8" customFormat="false" ht="24" hidden="false" customHeight="true" outlineLevel="0" collapsed="false">
      <c r="B8" s="89" t="str">
        <f aca="false">Entregables!D5</f>
        <v>Producto 1</v>
      </c>
      <c r="C8" s="114" t="n">
        <f aca="false">Entregables!G5</f>
        <v>45946</v>
      </c>
      <c r="D8" s="114" t="n">
        <f aca="false">Entregables!H5</f>
        <v>46011</v>
      </c>
      <c r="E8" s="90" t="str">
        <f aca="false">Entregables!S5</f>
        <v>En revisión</v>
      </c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</row>
    <row r="9" customFormat="false" ht="24" hidden="false" customHeight="true" outlineLevel="0" collapsed="false">
      <c r="B9" s="89" t="str">
        <f aca="false">Entregables!D6</f>
        <v>Producto 2 · Parte I</v>
      </c>
      <c r="C9" s="114" t="n">
        <f aca="false">Entregables!G6</f>
        <v>46012</v>
      </c>
      <c r="D9" s="114" t="n">
        <f aca="false">Entregables!H6</f>
        <v>46142</v>
      </c>
      <c r="E9" s="90" t="str">
        <f aca="false">Entregables!S6</f>
        <v>Vencido</v>
      </c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</row>
    <row r="10" customFormat="false" ht="24" hidden="false" customHeight="true" outlineLevel="0" collapsed="false">
      <c r="B10" s="89" t="str">
        <f aca="false">Entregables!D7</f>
        <v>Producto 2 · Parte II</v>
      </c>
      <c r="C10" s="114" t="n">
        <f aca="false">Entregables!G7</f>
        <v>46143</v>
      </c>
      <c r="D10" s="114" t="n">
        <f aca="false">Entregables!H7</f>
        <v>46203</v>
      </c>
      <c r="E10" s="90" t="str">
        <f aca="false">Entregables!S7</f>
        <v>Vencido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115"/>
      <c r="CD10" s="115"/>
      <c r="CE10" s="115"/>
      <c r="CF10" s="115"/>
      <c r="CG10" s="115"/>
      <c r="CH10" s="115"/>
      <c r="CI10" s="115"/>
      <c r="CJ10" s="115"/>
      <c r="CK10" s="115"/>
      <c r="CL10" s="115"/>
      <c r="CM10" s="115"/>
      <c r="CN10" s="115"/>
      <c r="CO10" s="115"/>
      <c r="CP10" s="115"/>
      <c r="CQ10" s="115"/>
      <c r="CR10" s="115"/>
      <c r="CS10" s="115"/>
    </row>
    <row r="11" customFormat="false" ht="24" hidden="false" customHeight="true" outlineLevel="0" collapsed="false">
      <c r="B11" s="89" t="str">
        <f aca="false">Entregables!D8</f>
        <v>Producto 3</v>
      </c>
      <c r="C11" s="114" t="n">
        <f aca="false">Entregables!G8</f>
        <v>46204</v>
      </c>
      <c r="D11" s="114" t="n">
        <f aca="false">Entregables!H8</f>
        <v>46374</v>
      </c>
      <c r="E11" s="90" t="str">
        <f aca="false">Entregables!S8</f>
        <v>Por entregar</v>
      </c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</row>
    <row r="12" customFormat="false" ht="24" hidden="false" customHeight="true" outlineLevel="0" collapsed="false">
      <c r="B12" s="89" t="str">
        <f aca="false">Entregables!D9</f>
        <v>Producto 4</v>
      </c>
      <c r="C12" s="114" t="n">
        <f aca="false">Entregables!G9</f>
        <v>46375</v>
      </c>
      <c r="D12" s="114" t="n">
        <f aca="false">Entregables!H9</f>
        <v>46507</v>
      </c>
      <c r="E12" s="90" t="str">
        <f aca="false">Entregables!S9</f>
        <v>Por entregar</v>
      </c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115"/>
      <c r="CD12" s="115"/>
      <c r="CE12" s="115"/>
      <c r="CF12" s="115"/>
      <c r="CG12" s="115"/>
      <c r="CH12" s="115"/>
      <c r="CI12" s="115"/>
      <c r="CJ12" s="115"/>
      <c r="CK12" s="115"/>
      <c r="CL12" s="115"/>
      <c r="CM12" s="115"/>
      <c r="CN12" s="115"/>
      <c r="CO12" s="115"/>
      <c r="CP12" s="115"/>
      <c r="CQ12" s="115"/>
      <c r="CR12" s="115"/>
      <c r="CS12" s="115"/>
    </row>
    <row r="13" customFormat="false" ht="24" hidden="false" customHeight="true" outlineLevel="0" collapsed="false">
      <c r="B13" s="89" t="s">
        <v>183</v>
      </c>
      <c r="C13" s="114" t="n">
        <f aca="false">Entregables!H9+1</f>
        <v>46508</v>
      </c>
      <c r="D13" s="114" t="n">
        <f aca="false">Cierre</f>
        <v>46535</v>
      </c>
      <c r="E13" s="90" t="s">
        <v>184</v>
      </c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5"/>
      <c r="CS13" s="115"/>
    </row>
    <row r="15" customFormat="false" ht="15" hidden="false" customHeight="false" outlineLevel="0" collapsed="false">
      <c r="B15" s="68" t="s">
        <v>185</v>
      </c>
    </row>
    <row r="16" customFormat="false" ht="15" hidden="false" customHeight="false" outlineLevel="0" collapsed="false">
      <c r="B16" s="116"/>
      <c r="C16" s="117" t="s">
        <v>88</v>
      </c>
    </row>
    <row r="17" customFormat="false" ht="15" hidden="false" customHeight="false" outlineLevel="0" collapsed="false">
      <c r="B17" s="118"/>
      <c r="C17" s="117" t="s">
        <v>89</v>
      </c>
    </row>
    <row r="18" customFormat="false" ht="15" hidden="false" customHeight="false" outlineLevel="0" collapsed="false">
      <c r="B18" s="119"/>
      <c r="C18" s="117" t="s">
        <v>90</v>
      </c>
    </row>
    <row r="19" customFormat="false" ht="15" hidden="false" customHeight="false" outlineLevel="0" collapsed="false">
      <c r="B19" s="120"/>
      <c r="C19" s="117" t="s">
        <v>91</v>
      </c>
    </row>
    <row r="20" customFormat="false" ht="15" hidden="false" customHeight="false" outlineLevel="0" collapsed="false">
      <c r="B20" s="121"/>
      <c r="C20" s="117" t="s">
        <v>92</v>
      </c>
    </row>
    <row r="21" customFormat="false" ht="15" hidden="false" customHeight="false" outlineLevel="0" collapsed="false">
      <c r="B21" s="122"/>
      <c r="C21" s="117" t="s">
        <v>93</v>
      </c>
    </row>
    <row r="22" customFormat="false" ht="15" hidden="false" customHeight="false" outlineLevel="0" collapsed="false">
      <c r="B22" s="123"/>
      <c r="C22" s="117" t="s">
        <v>183</v>
      </c>
    </row>
    <row r="23" customFormat="false" ht="15" hidden="false" customHeight="false" outlineLevel="0" collapsed="false">
      <c r="B23" s="124"/>
      <c r="C23" s="117" t="s">
        <v>186</v>
      </c>
    </row>
  </sheetData>
  <conditionalFormatting sqref="F8:CS13">
    <cfRule type="expression" priority="2" aboveAverage="0" equalAverage="0" bottom="0" percent="0" rank="0" text="" dxfId="23">
      <formula>AND(AND(F$6+6&gt;=$C8,F$6&lt;=$D8),$E8="Por entregar")</formula>
    </cfRule>
    <cfRule type="expression" priority="3" aboveAverage="0" equalAverage="0" bottom="0" percent="0" rank="0" text="" dxfId="24">
      <formula>AND(AND(F$6+6&gt;=$C8,F$6&lt;=$D8),$E8="Por vencer")</formula>
    </cfRule>
    <cfRule type="expression" priority="4" aboveAverage="0" equalAverage="0" bottom="0" percent="0" rank="0" text="" dxfId="25">
      <formula>AND(AND(F$6+6&gt;=$C8,F$6&lt;=$D8),$E8="Vencido")</formula>
    </cfRule>
    <cfRule type="expression" priority="5" aboveAverage="0" equalAverage="0" bottom="0" percent="0" rank="0" text="" dxfId="26">
      <formula>AND(AND(F$6+6&gt;=$C8,F$6&lt;=$D8),$E8="En revisión")</formula>
    </cfRule>
    <cfRule type="expression" priority="6" aboveAverage="0" equalAverage="0" bottom="0" percent="0" rank="0" text="" dxfId="27">
      <formula>AND(AND(F$6+6&gt;=$C8,F$6&lt;=$D8),$E8="Observado")</formula>
    </cfRule>
    <cfRule type="expression" priority="7" aboveAverage="0" equalAverage="0" bottom="0" percent="0" rank="0" text="" dxfId="28">
      <formula>AND(AND(F$6+6&gt;=$C8,F$6&lt;=$D8),$E8="Aprobado")</formula>
    </cfRule>
    <cfRule type="expression" priority="8" aboveAverage="0" equalAverage="0" bottom="0" percent="0" rank="0" text="" dxfId="29">
      <formula>AND(AND(F$6+6&gt;=$C8,F$6&lt;=$D8),$E8="Cierre")</formula>
    </cfRule>
    <cfRule type="expression" priority="9" aboveAverage="0" equalAverage="0" bottom="0" percent="0" rank="0" text="" dxfId="30">
      <formula>AND(FechaRef&gt;=F$6,FechaRef&lt;F$6+7)</formula>
    </cfRule>
  </conditionalFormatting>
  <conditionalFormatting sqref="E8:E13">
    <cfRule type="expression" priority="10" aboveAverage="0" equalAverage="0" bottom="0" percent="0" rank="0" text="" dxfId="4">
      <formula>E8="Por entregar"</formula>
    </cfRule>
    <cfRule type="expression" priority="11" aboveAverage="0" equalAverage="0" bottom="0" percent="0" rank="0" text="" dxfId="1">
      <formula>E8="Por vencer"</formula>
    </cfRule>
    <cfRule type="expression" priority="12" aboveAverage="0" equalAverage="0" bottom="0" percent="0" rank="0" text="" dxfId="0">
      <formula>E8="Vencido"</formula>
    </cfRule>
    <cfRule type="expression" priority="13" aboveAverage="0" equalAverage="0" bottom="0" percent="0" rank="0" text="" dxfId="5">
      <formula>E8="En revisión"</formula>
    </cfRule>
    <cfRule type="expression" priority="14" aboveAverage="0" equalAverage="0" bottom="0" percent="0" rank="0" text="" dxfId="6">
      <formula>E8="Observado"</formula>
    </cfRule>
    <cfRule type="expression" priority="15" aboveAverage="0" equalAverage="0" bottom="0" percent="0" rank="0" text="" dxfId="2">
      <formula>E8="Aprobado"</formula>
    </cfRule>
  </conditionalFormatting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6B00"/>
    <pageSetUpPr fitToPage="true"/>
  </sheetPr>
  <dimension ref="B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187</v>
      </c>
    </row>
    <row r="3" customFormat="false" ht="15" hidden="false" customHeight="false" outlineLevel="0" collapsed="false">
      <c r="B3" s="55" t="s">
        <v>188</v>
      </c>
    </row>
    <row r="5" customFormat="false" ht="15" hidden="false" customHeight="false" outlineLevel="0" collapsed="false">
      <c r="B5" s="125" t="s">
        <v>189</v>
      </c>
    </row>
    <row r="6" customFormat="false" ht="30" hidden="false" customHeight="true" outlineLevel="0" collapsed="false">
      <c r="B6" s="36" t="s">
        <v>32</v>
      </c>
      <c r="C6" s="36" t="s">
        <v>190</v>
      </c>
      <c r="D6" s="36" t="s">
        <v>82</v>
      </c>
      <c r="E6" s="36" t="s">
        <v>191</v>
      </c>
      <c r="F6" s="36" t="s">
        <v>192</v>
      </c>
      <c r="G6" s="36" t="s">
        <v>193</v>
      </c>
      <c r="H6" s="36" t="s">
        <v>194</v>
      </c>
      <c r="I6" s="36" t="s">
        <v>195</v>
      </c>
    </row>
    <row r="7" customFormat="false" ht="15" hidden="false" customHeight="false" outlineLevel="0" collapsed="false">
      <c r="B7" s="126" t="s">
        <v>95</v>
      </c>
      <c r="C7" s="127" t="n">
        <f aca="false">Entregables!V5</f>
        <v>15</v>
      </c>
      <c r="D7" s="128" t="n">
        <f aca="false">Inicio+C7</f>
        <v>45961</v>
      </c>
      <c r="E7" s="129" t="n">
        <v>15</v>
      </c>
      <c r="F7" s="128" t="n">
        <f aca="false">Inicio+E7</f>
        <v>45961</v>
      </c>
      <c r="G7" s="127" t="n">
        <f aca="false">Entregables!F5</f>
        <v>65</v>
      </c>
      <c r="H7" s="128" t="n">
        <f aca="false">Inicio+G7</f>
        <v>46011</v>
      </c>
      <c r="I7" s="130" t="n">
        <f aca="false">G7-C7</f>
        <v>50</v>
      </c>
    </row>
    <row r="8" customFormat="false" ht="15" hidden="false" customHeight="false" outlineLevel="0" collapsed="false">
      <c r="B8" s="126" t="s">
        <v>196</v>
      </c>
      <c r="C8" s="127" t="n">
        <f aca="false">Entregables!V6</f>
        <v>180</v>
      </c>
      <c r="D8" s="128" t="n">
        <f aca="false">Inicio+C8</f>
        <v>46126</v>
      </c>
      <c r="E8" s="129" t="n">
        <v>120</v>
      </c>
      <c r="F8" s="128" t="n">
        <f aca="false">Inicio+E8</f>
        <v>46066</v>
      </c>
      <c r="G8" s="127" t="n">
        <f aca="false">Entregables!F6</f>
        <v>196</v>
      </c>
      <c r="H8" s="128" t="n">
        <f aca="false">Inicio+G8</f>
        <v>46142</v>
      </c>
      <c r="I8" s="130" t="n">
        <f aca="false">G8-C8</f>
        <v>16</v>
      </c>
    </row>
    <row r="9" customFormat="false" ht="15" hidden="false" customHeight="false" outlineLevel="0" collapsed="false">
      <c r="B9" s="126" t="s">
        <v>197</v>
      </c>
      <c r="C9" s="127" t="n">
        <f aca="false">Entregables!V7</f>
        <v>180</v>
      </c>
      <c r="D9" s="128" t="n">
        <f aca="false">Inicio+C9</f>
        <v>46126</v>
      </c>
      <c r="E9" s="129" t="n">
        <v>120</v>
      </c>
      <c r="F9" s="128" t="n">
        <f aca="false">Inicio+E9</f>
        <v>46066</v>
      </c>
      <c r="G9" s="127" t="n">
        <f aca="false">Entregables!F7</f>
        <v>257</v>
      </c>
      <c r="H9" s="128" t="n">
        <f aca="false">Inicio+G9</f>
        <v>46203</v>
      </c>
      <c r="I9" s="130" t="n">
        <f aca="false">G9-C9</f>
        <v>77</v>
      </c>
    </row>
    <row r="10" customFormat="false" ht="15" hidden="false" customHeight="false" outlineLevel="0" collapsed="false">
      <c r="B10" s="126" t="s">
        <v>15</v>
      </c>
      <c r="C10" s="127" t="n">
        <f aca="false">Entregables!V8</f>
        <v>360</v>
      </c>
      <c r="D10" s="128" t="n">
        <f aca="false">Inicio+C10</f>
        <v>46306</v>
      </c>
      <c r="E10" s="129" t="n">
        <v>240</v>
      </c>
      <c r="F10" s="128" t="n">
        <f aca="false">Inicio+E10</f>
        <v>46186</v>
      </c>
      <c r="G10" s="127" t="n">
        <f aca="false">Entregables!F8</f>
        <v>428</v>
      </c>
      <c r="H10" s="128" t="n">
        <f aca="false">Inicio+G10</f>
        <v>46374</v>
      </c>
      <c r="I10" s="130" t="n">
        <f aca="false">G10-C10</f>
        <v>68</v>
      </c>
    </row>
    <row r="11" customFormat="false" ht="15" hidden="false" customHeight="false" outlineLevel="0" collapsed="false">
      <c r="B11" s="126" t="s">
        <v>120</v>
      </c>
      <c r="C11" s="127" t="n">
        <f aca="false">Entregables!V9</f>
        <v>540</v>
      </c>
      <c r="D11" s="128" t="n">
        <f aca="false">Inicio+C11</f>
        <v>46486</v>
      </c>
      <c r="E11" s="129" t="n">
        <v>495</v>
      </c>
      <c r="F11" s="128" t="n">
        <f aca="false">Inicio+E11</f>
        <v>46441</v>
      </c>
      <c r="G11" s="127" t="n">
        <f aca="false">Entregables!F9</f>
        <v>561</v>
      </c>
      <c r="H11" s="128" t="n">
        <f aca="false">Inicio+G11</f>
        <v>46507</v>
      </c>
      <c r="I11" s="130" t="n">
        <f aca="false">G11-C11</f>
        <v>21</v>
      </c>
    </row>
    <row r="12" customFormat="false" ht="15" hidden="false" customHeight="false" outlineLevel="0" collapsed="false">
      <c r="B12" s="126" t="s">
        <v>198</v>
      </c>
      <c r="C12" s="131" t="n">
        <f aca="false">FinOriginal</f>
        <v>540</v>
      </c>
      <c r="D12" s="128" t="n">
        <f aca="false">Inicio+C12</f>
        <v>46486</v>
      </c>
      <c r="E12" s="131" t="n">
        <f aca="false">FinOriginal</f>
        <v>540</v>
      </c>
      <c r="F12" s="128" t="n">
        <f aca="false">Inicio+E12</f>
        <v>46486</v>
      </c>
      <c r="G12" s="131" t="n">
        <f aca="false">DiasConvenio</f>
        <v>589</v>
      </c>
      <c r="H12" s="128" t="n">
        <f aca="false">Inicio+G12</f>
        <v>46535</v>
      </c>
      <c r="I12" s="130" t="n">
        <f aca="false">G12-C12</f>
        <v>49</v>
      </c>
    </row>
    <row r="13" customFormat="false" ht="15" hidden="false" customHeight="false" outlineLevel="0" collapsed="false">
      <c r="B13" s="70" t="s">
        <v>199</v>
      </c>
    </row>
    <row r="15" customFormat="false" ht="15" hidden="false" customHeight="false" outlineLevel="0" collapsed="false">
      <c r="B15" s="125" t="s">
        <v>200</v>
      </c>
    </row>
    <row r="16" customFormat="false" ht="30" hidden="false" customHeight="true" outlineLevel="0" collapsed="false">
      <c r="B16" s="36" t="s">
        <v>73</v>
      </c>
      <c r="C16" s="36" t="s">
        <v>133</v>
      </c>
      <c r="D16" s="36" t="s">
        <v>137</v>
      </c>
      <c r="E16" s="36" t="s">
        <v>201</v>
      </c>
      <c r="F16" s="36" t="s">
        <v>202</v>
      </c>
      <c r="G16" s="36" t="s">
        <v>141</v>
      </c>
      <c r="H16" s="36" t="s">
        <v>203</v>
      </c>
    </row>
    <row r="17" customFormat="false" ht="23.85" hidden="false" customHeight="false" outlineLevel="0" collapsed="false">
      <c r="B17" s="58" t="str">
        <f aca="false">"Desembolso "&amp;1</f>
        <v>Desembolso 1</v>
      </c>
      <c r="C17" s="74" t="n">
        <f aca="false">Desembolsos!B5</f>
        <v>141375</v>
      </c>
      <c r="D17" s="60" t="n">
        <f aca="false">Desembolsos!F5</f>
        <v>45961</v>
      </c>
      <c r="E17" s="57" t="str">
        <f aca="false">IF(Desembolsos!H5="P2-II","Producto 2 completo (Parte II)",Desembolsos!G5)</f>
        <v>Producto 1</v>
      </c>
      <c r="F17" s="60" t="n">
        <f aca="false">Desembolsos!I5</f>
        <v>46011</v>
      </c>
      <c r="G17" s="73" t="n">
        <f aca="false">Desembolsos!J5</f>
        <v>50</v>
      </c>
      <c r="H17" s="57" t="str">
        <f aca="false">Desembolsos!T5</f>
        <v>En conformidad</v>
      </c>
    </row>
    <row r="18" customFormat="false" ht="23.85" hidden="false" customHeight="false" outlineLevel="0" collapsed="false">
      <c r="B18" s="58" t="str">
        <f aca="false">"Desembolso "&amp;2</f>
        <v>Desembolso 2</v>
      </c>
      <c r="C18" s="74" t="n">
        <f aca="false">Desembolsos!B6</f>
        <v>141375</v>
      </c>
      <c r="D18" s="60" t="n">
        <f aca="false">Desembolsos!F6</f>
        <v>46066</v>
      </c>
      <c r="E18" s="57" t="str">
        <f aca="false">IF(Desembolsos!H6="P2-II","Producto 2 completo (Parte II)",Desembolsos!G6)</f>
        <v>Producto 2 completo (Parte II)</v>
      </c>
      <c r="F18" s="60" t="n">
        <f aca="false">Desembolsos!I6</f>
        <v>46203</v>
      </c>
      <c r="G18" s="73" t="n">
        <f aca="false">Desembolsos!J6</f>
        <v>137</v>
      </c>
      <c r="H18" s="57" t="str">
        <f aca="false">Desembolsos!T6</f>
        <v>Pendiente de producto</v>
      </c>
    </row>
    <row r="19" customFormat="false" ht="23.85" hidden="false" customHeight="false" outlineLevel="0" collapsed="false">
      <c r="B19" s="58" t="str">
        <f aca="false">"Desembolso "&amp;3</f>
        <v>Desembolso 3</v>
      </c>
      <c r="C19" s="74" t="n">
        <f aca="false">Desembolsos!B7</f>
        <v>117812</v>
      </c>
      <c r="D19" s="60" t="n">
        <f aca="false">Desembolsos!F7</f>
        <v>46186</v>
      </c>
      <c r="E19" s="57" t="str">
        <f aca="false">IF(Desembolsos!H7="P2-II","Producto 2 completo (Parte II)",Desembolsos!G7)</f>
        <v>Producto 3</v>
      </c>
      <c r="F19" s="60" t="n">
        <f aca="false">Desembolsos!I7</f>
        <v>46374</v>
      </c>
      <c r="G19" s="73" t="n">
        <f aca="false">Desembolsos!J7</f>
        <v>188</v>
      </c>
      <c r="H19" s="57" t="str">
        <f aca="false">Desembolsos!T7</f>
        <v>Pendiente de producto</v>
      </c>
    </row>
    <row r="20" customFormat="false" ht="23.85" hidden="false" customHeight="false" outlineLevel="0" collapsed="false">
      <c r="B20" s="58" t="str">
        <f aca="false">"Desembolso "&amp;4</f>
        <v>Desembolso 4</v>
      </c>
      <c r="C20" s="74" t="n">
        <f aca="false">Desembolsos!B8</f>
        <v>70688</v>
      </c>
      <c r="D20" s="60" t="str">
        <f aca="false">Desembolsos!F8</f>
        <v>Al presentar P4</v>
      </c>
      <c r="E20" s="57" t="str">
        <f aca="false">IF(Desembolsos!H8="P2-II","Producto 2 completo (Parte II)",Desembolsos!G8)</f>
        <v>Producto 4</v>
      </c>
      <c r="F20" s="60" t="n">
        <f aca="false">Desembolsos!I8</f>
        <v>46507</v>
      </c>
      <c r="G20" s="73" t="n">
        <f aca="false">Desembolsos!J8</f>
        <v>0</v>
      </c>
      <c r="H20" s="57" t="str">
        <f aca="false">Desembolsos!T8</f>
        <v>Pendiente de producto</v>
      </c>
    </row>
    <row r="21" customFormat="false" ht="15" hidden="false" customHeight="false" outlineLevel="0" collapsed="false">
      <c r="B21" s="70" t="str">
        <f aca="false">"Las fechas de 9.1 quedan entre "&amp;_xlfn.MINIFS(G17:G20,G17:G20,"&gt;0")&amp;" y "&amp;MAX(G17:G20)&amp;" días antes de los entregables vigentes. Conviene actualizarlas por acta (cl. 8.5) o adenda (cl. 16.1)."</f>
        <v>Las fechas de 9.1 quedan entre 50 y 188 días antes de los entregables vigentes. Conviene actualizarlas por acta (cl. 8.5) o adenda (cl. 16.1).</v>
      </c>
    </row>
    <row r="23" customFormat="false" ht="15" hidden="false" customHeight="false" outlineLevel="0" collapsed="false">
      <c r="B23" s="125" t="s">
        <v>204</v>
      </c>
    </row>
    <row r="24" customFormat="false" ht="30" hidden="false" customHeight="true" outlineLevel="0" collapsed="false">
      <c r="B24" s="36" t="s">
        <v>205</v>
      </c>
      <c r="C24" s="36" t="s">
        <v>206</v>
      </c>
      <c r="D24" s="36" t="s">
        <v>207</v>
      </c>
      <c r="E24" s="36" t="s">
        <v>208</v>
      </c>
      <c r="F24" s="36" t="s">
        <v>209</v>
      </c>
      <c r="G24" s="36" t="s">
        <v>210</v>
      </c>
      <c r="H24" s="36" t="s">
        <v>211</v>
      </c>
    </row>
    <row r="25" customFormat="false" ht="15" hidden="false" customHeight="false" outlineLevel="0" collapsed="false">
      <c r="B25" s="126" t="s">
        <v>95</v>
      </c>
      <c r="C25" s="132" t="n">
        <f aca="false">Desembolsos!D5</f>
        <v>0.3</v>
      </c>
      <c r="D25" s="132" t="n">
        <f aca="false">SUM($C$25:C25)</f>
        <v>0.3</v>
      </c>
      <c r="E25" s="132" t="n">
        <f aca="false">Entregables!J5</f>
        <v>0.3</v>
      </c>
      <c r="F25" s="132" t="n">
        <f aca="false">SUM($E$25:E25)</f>
        <v>0.3</v>
      </c>
      <c r="G25" s="133" t="n">
        <f aca="false">(E25-C25)*100</f>
        <v>0</v>
      </c>
      <c r="H25" s="134" t="n">
        <f aca="false">(E25-C25)*TotalCARE</f>
        <v>0</v>
      </c>
    </row>
    <row r="26" customFormat="false" ht="15" hidden="false" customHeight="false" outlineLevel="0" collapsed="false">
      <c r="B26" s="126" t="s">
        <v>212</v>
      </c>
      <c r="C26" s="132" t="n">
        <f aca="false">Desembolsos!D6</f>
        <v>0.3</v>
      </c>
      <c r="D26" s="132" t="n">
        <f aca="false">SUM($C$25:C26)</f>
        <v>0.6</v>
      </c>
      <c r="E26" s="132" t="n">
        <f aca="false">Entregables!J6+Entregables!J7</f>
        <v>0.35</v>
      </c>
      <c r="F26" s="132" t="n">
        <f aca="false">SUM($E$25:E26)</f>
        <v>0.65</v>
      </c>
      <c r="G26" s="133" t="n">
        <f aca="false">(E26-C26)*100</f>
        <v>5</v>
      </c>
      <c r="H26" s="134" t="n">
        <f aca="false">(E26-C26)*TotalCARE</f>
        <v>23562.5</v>
      </c>
    </row>
    <row r="27" customFormat="false" ht="15" hidden="false" customHeight="false" outlineLevel="0" collapsed="false">
      <c r="B27" s="126" t="s">
        <v>15</v>
      </c>
      <c r="C27" s="132" t="n">
        <f aca="false">Desembolsos!D7</f>
        <v>0.25</v>
      </c>
      <c r="D27" s="132" t="n">
        <f aca="false">SUM($C$25:C27)</f>
        <v>0.85</v>
      </c>
      <c r="E27" s="132" t="n">
        <f aca="false">Entregables!J8</f>
        <v>0.2</v>
      </c>
      <c r="F27" s="132" t="n">
        <f aca="false">SUM($E$25:E27)</f>
        <v>0.85</v>
      </c>
      <c r="G27" s="133" t="n">
        <f aca="false">(E27-C27)*100</f>
        <v>-5</v>
      </c>
      <c r="H27" s="134" t="n">
        <f aca="false">(E27-C27)*TotalCARE</f>
        <v>-23562.5</v>
      </c>
    </row>
    <row r="28" customFormat="false" ht="15" hidden="false" customHeight="false" outlineLevel="0" collapsed="false">
      <c r="B28" s="126" t="s">
        <v>120</v>
      </c>
      <c r="C28" s="132" t="n">
        <f aca="false">Desembolsos!D8</f>
        <v>0.15</v>
      </c>
      <c r="D28" s="132" t="n">
        <f aca="false">SUM($C$25:C28)</f>
        <v>1</v>
      </c>
      <c r="E28" s="132" t="n">
        <f aca="false">Entregables!J9</f>
        <v>0.15</v>
      </c>
      <c r="F28" s="132" t="n">
        <f aca="false">SUM($E$25:E28)</f>
        <v>1</v>
      </c>
      <c r="G28" s="133" t="n">
        <f aca="false">(E28-C28)*100</f>
        <v>0</v>
      </c>
      <c r="H28" s="134" t="n">
        <f aca="false">(E28-C28)*TotalCARE</f>
        <v>0</v>
      </c>
    </row>
    <row r="30" customFormat="false" ht="15" hidden="false" customHeight="false" outlineLevel="0" collapsed="false">
      <c r="B30" s="125" t="s">
        <v>213</v>
      </c>
    </row>
    <row r="31" customFormat="false" ht="30" hidden="false" customHeight="true" outlineLevel="0" collapsed="false">
      <c r="B31" s="36" t="s">
        <v>214</v>
      </c>
      <c r="C31" s="36" t="s">
        <v>215</v>
      </c>
      <c r="D31" s="36"/>
      <c r="E31" s="36" t="s">
        <v>216</v>
      </c>
      <c r="F31" s="36"/>
      <c r="G31" s="36" t="s">
        <v>217</v>
      </c>
    </row>
    <row r="32" customFormat="false" ht="15" hidden="false" customHeight="false" outlineLevel="0" collapsed="false">
      <c r="B32" s="126" t="s">
        <v>218</v>
      </c>
      <c r="C32" s="127" t="s">
        <v>219</v>
      </c>
      <c r="D32" s="127"/>
      <c r="E32" s="127" t="s">
        <v>220</v>
      </c>
      <c r="F32" s="127"/>
      <c r="G32" s="127"/>
    </row>
    <row r="33" customFormat="false" ht="15" hidden="false" customHeight="false" outlineLevel="0" collapsed="false">
      <c r="B33" s="126" t="s">
        <v>221</v>
      </c>
      <c r="C33" s="128" t="n">
        <f aca="false">Inicio</f>
        <v>45946</v>
      </c>
      <c r="D33" s="127"/>
      <c r="E33" s="128" t="n">
        <f aca="false">Inicio</f>
        <v>45946</v>
      </c>
      <c r="F33" s="127"/>
      <c r="G33" s="127"/>
    </row>
    <row r="34" customFormat="false" ht="15" hidden="false" customHeight="false" outlineLevel="0" collapsed="false">
      <c r="B34" s="126" t="s">
        <v>222</v>
      </c>
      <c r="C34" s="128" t="n">
        <f aca="false">Inicio+FinOriginal</f>
        <v>46486</v>
      </c>
      <c r="D34" s="127"/>
      <c r="E34" s="128" t="n">
        <f aca="false">Cierre</f>
        <v>46535</v>
      </c>
      <c r="F34" s="127"/>
      <c r="G34" s="127"/>
    </row>
    <row r="35" customFormat="false" ht="15" hidden="false" customHeight="false" outlineLevel="0" collapsed="false">
      <c r="B35" s="126" t="s">
        <v>223</v>
      </c>
      <c r="C35" s="131" t="n">
        <f aca="false">FinOriginal</f>
        <v>540</v>
      </c>
      <c r="D35" s="127"/>
      <c r="E35" s="131" t="n">
        <f aca="false">DiasConvenio</f>
        <v>589</v>
      </c>
      <c r="F35" s="127"/>
      <c r="G35" s="135" t="n">
        <f aca="false">E35-C35</f>
        <v>49</v>
      </c>
    </row>
  </sheetData>
  <conditionalFormatting sqref="I7:I12">
    <cfRule type="cellIs" priority="2" operator="greaterThan" aboveAverage="0" equalAverage="0" bottom="0" percent="0" rank="0" text="" dxfId="31">
      <formula>0</formula>
    </cfRule>
  </conditionalFormatting>
  <conditionalFormatting sqref="G17:G20">
    <cfRule type="cellIs" priority="3" operator="greaterThan" aboveAverage="0" equalAverage="0" bottom="0" percent="0" rank="0" text="" dxfId="0">
      <formula>0</formula>
    </cfRule>
  </conditionalFormatting>
  <conditionalFormatting sqref="H17:H20">
    <cfRule type="expression" priority="4" aboveAverage="0" equalAverage="0" bottom="0" percent="0" rank="0" text="" dxfId="2">
      <formula>H17="Desembolsado"</formula>
    </cfRule>
    <cfRule type="expression" priority="5" aboveAverage="0" equalAverage="0" bottom="0" percent="0" rank="0" text="" dxfId="4">
      <formula>H17="Listo para solicitar"</formula>
    </cfRule>
    <cfRule type="expression" priority="6" aboveAverage="0" equalAverage="0" bottom="0" percent="0" rank="0" text="" dxfId="1">
      <formula>H17="Falta rendición"</formula>
    </cfRule>
    <cfRule type="expression" priority="7" aboveAverage="0" equalAverage="0" bottom="0" percent="0" rank="0" text="" dxfId="5">
      <formula>H17="En conformidad"</formula>
    </cfRule>
    <cfRule type="expression" priority="8" aboveAverage="0" equalAverage="0" bottom="0" percent="0" rank="0" text="" dxfId="8">
      <formula>H17="Pendiente de producto"</formula>
    </cfRule>
  </conditionalFormatting>
  <conditionalFormatting sqref="G25:H28">
    <cfRule type="cellIs" priority="9" operator="notEqual" aboveAverage="0" equalAverage="0" bottom="0" percent="0" rank="0" text="" dxfId="7">
      <formula>0</formula>
    </cfRule>
  </conditionalFormatting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B4B"/>
    <pageSetUpPr fitToPage="tru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80"/>
    <col collapsed="false" customWidth="true" hidden="false" outlineLevel="0" max="5" min="5" style="0" width="26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224</v>
      </c>
    </row>
    <row r="3" customFormat="false" ht="15" hidden="false" customHeight="false" outlineLevel="0" collapsed="false">
      <c r="B3" s="55" t="s">
        <v>225</v>
      </c>
    </row>
    <row r="5" customFormat="false" ht="16.15" hidden="false" customHeight="false" outlineLevel="0" collapsed="false">
      <c r="B5" s="136" t="s">
        <v>226</v>
      </c>
    </row>
    <row r="6" customFormat="false" ht="30" hidden="false" customHeight="true" outlineLevel="0" collapsed="false">
      <c r="B6" s="36"/>
      <c r="C6" s="36" t="s">
        <v>36</v>
      </c>
      <c r="D6" s="36" t="s">
        <v>227</v>
      </c>
      <c r="E6" s="36" t="s">
        <v>228</v>
      </c>
    </row>
    <row r="7" customFormat="false" ht="30" hidden="false" customHeight="true" outlineLevel="0" collapsed="false">
      <c r="B7" s="137"/>
      <c r="C7" s="138" t="s">
        <v>88</v>
      </c>
      <c r="D7" s="57" t="s">
        <v>229</v>
      </c>
      <c r="E7" s="57" t="s">
        <v>230</v>
      </c>
    </row>
    <row r="8" customFormat="false" ht="30" hidden="false" customHeight="true" outlineLevel="0" collapsed="false">
      <c r="B8" s="139"/>
      <c r="C8" s="140" t="s">
        <v>89</v>
      </c>
      <c r="D8" s="57" t="s">
        <v>231</v>
      </c>
      <c r="E8" s="57" t="s">
        <v>232</v>
      </c>
    </row>
    <row r="9" customFormat="false" ht="30" hidden="false" customHeight="true" outlineLevel="0" collapsed="false">
      <c r="B9" s="141"/>
      <c r="C9" s="142" t="s">
        <v>90</v>
      </c>
      <c r="D9" s="57" t="s">
        <v>233</v>
      </c>
      <c r="E9" s="57" t="s">
        <v>234</v>
      </c>
    </row>
    <row r="10" customFormat="false" ht="30" hidden="false" customHeight="true" outlineLevel="0" collapsed="false">
      <c r="B10" s="143"/>
      <c r="C10" s="144" t="s">
        <v>91</v>
      </c>
      <c r="D10" s="57" t="s">
        <v>235</v>
      </c>
      <c r="E10" s="57" t="s">
        <v>236</v>
      </c>
    </row>
    <row r="11" customFormat="false" ht="30" hidden="false" customHeight="true" outlineLevel="0" collapsed="false">
      <c r="B11" s="145"/>
      <c r="C11" s="146" t="s">
        <v>92</v>
      </c>
      <c r="D11" s="57" t="s">
        <v>237</v>
      </c>
      <c r="E11" s="57" t="s">
        <v>238</v>
      </c>
    </row>
    <row r="12" customFormat="false" ht="30" hidden="false" customHeight="true" outlineLevel="0" collapsed="false">
      <c r="B12" s="147"/>
      <c r="C12" s="148" t="s">
        <v>93</v>
      </c>
      <c r="D12" s="57" t="s">
        <v>239</v>
      </c>
      <c r="E12" s="57" t="s">
        <v>240</v>
      </c>
    </row>
    <row r="13" customFormat="false" ht="30" hidden="false" customHeight="true" outlineLevel="0" collapsed="false">
      <c r="B13" s="149"/>
      <c r="C13" s="150" t="s">
        <v>161</v>
      </c>
      <c r="D13" s="57" t="s">
        <v>241</v>
      </c>
      <c r="E13" s="57" t="s">
        <v>242</v>
      </c>
    </row>
    <row r="14" customFormat="false" ht="30" hidden="false" customHeight="true" outlineLevel="0" collapsed="false">
      <c r="B14" s="143"/>
      <c r="C14" s="144" t="s">
        <v>160</v>
      </c>
      <c r="D14" s="57" t="s">
        <v>243</v>
      </c>
      <c r="E14" s="57" t="s">
        <v>244</v>
      </c>
    </row>
    <row r="15" customFormat="false" ht="30" hidden="false" customHeight="true" outlineLevel="0" collapsed="false">
      <c r="B15" s="139"/>
      <c r="C15" s="140" t="s">
        <v>159</v>
      </c>
      <c r="D15" s="57" t="s">
        <v>245</v>
      </c>
      <c r="E15" s="57" t="s">
        <v>246</v>
      </c>
    </row>
    <row r="16" customFormat="false" ht="30" hidden="false" customHeight="true" outlineLevel="0" collapsed="false">
      <c r="B16" s="137"/>
      <c r="C16" s="138" t="s">
        <v>158</v>
      </c>
      <c r="D16" s="57" t="s">
        <v>247</v>
      </c>
      <c r="E16" s="57" t="s">
        <v>248</v>
      </c>
    </row>
    <row r="17" customFormat="false" ht="30" hidden="false" customHeight="true" outlineLevel="0" collapsed="false">
      <c r="B17" s="147"/>
      <c r="C17" s="148" t="s">
        <v>157</v>
      </c>
      <c r="D17" s="57" t="s">
        <v>249</v>
      </c>
      <c r="E17" s="57" t="s">
        <v>250</v>
      </c>
    </row>
    <row r="19" customFormat="false" ht="16.15" hidden="false" customHeight="false" outlineLevel="0" collapsed="false">
      <c r="B19" s="136" t="s">
        <v>251</v>
      </c>
    </row>
    <row r="20" customFormat="false" ht="30" hidden="false" customHeight="true" outlineLevel="0" collapsed="false">
      <c r="B20" s="36" t="s">
        <v>132</v>
      </c>
      <c r="C20" s="36" t="s">
        <v>252</v>
      </c>
      <c r="D20" s="36" t="s">
        <v>253</v>
      </c>
      <c r="E20" s="36" t="s">
        <v>254</v>
      </c>
    </row>
    <row r="21" customFormat="false" ht="31.5" hidden="false" customHeight="true" outlineLevel="0" collapsed="false">
      <c r="B21" s="151" t="n">
        <v>1</v>
      </c>
      <c r="C21" s="58" t="s">
        <v>255</v>
      </c>
      <c r="D21" s="57" t="s">
        <v>256</v>
      </c>
      <c r="E21" s="57"/>
    </row>
    <row r="22" customFormat="false" ht="31.5" hidden="false" customHeight="true" outlineLevel="0" collapsed="false">
      <c r="B22" s="151" t="n">
        <v>2</v>
      </c>
      <c r="C22" s="58" t="s">
        <v>257</v>
      </c>
      <c r="D22" s="57" t="s">
        <v>258</v>
      </c>
      <c r="E22" s="57"/>
    </row>
    <row r="23" customFormat="false" ht="31.5" hidden="false" customHeight="true" outlineLevel="0" collapsed="false">
      <c r="B23" s="151" t="n">
        <v>3</v>
      </c>
      <c r="C23" s="58" t="s">
        <v>259</v>
      </c>
      <c r="D23" s="57" t="s">
        <v>260</v>
      </c>
      <c r="E23" s="57"/>
    </row>
    <row r="24" customFormat="false" ht="31.5" hidden="false" customHeight="true" outlineLevel="0" collapsed="false">
      <c r="B24" s="151" t="n">
        <v>4</v>
      </c>
      <c r="C24" s="58" t="s">
        <v>261</v>
      </c>
      <c r="D24" s="57" t="s">
        <v>262</v>
      </c>
      <c r="E24" s="57"/>
    </row>
    <row r="25" customFormat="false" ht="31.5" hidden="false" customHeight="true" outlineLevel="0" collapsed="false">
      <c r="B25" s="151" t="n">
        <v>5</v>
      </c>
      <c r="C25" s="58" t="s">
        <v>263</v>
      </c>
      <c r="D25" s="57" t="s">
        <v>264</v>
      </c>
      <c r="E25" s="57"/>
    </row>
    <row r="27" customFormat="false" ht="16.15" hidden="false" customHeight="false" outlineLevel="0" collapsed="false">
      <c r="B27" s="136" t="s">
        <v>265</v>
      </c>
    </row>
    <row r="28" customFormat="false" ht="30" hidden="false" customHeight="true" outlineLevel="0" collapsed="false">
      <c r="B28" s="36" t="s">
        <v>132</v>
      </c>
      <c r="C28" s="36" t="s">
        <v>252</v>
      </c>
      <c r="D28" s="36" t="s">
        <v>253</v>
      </c>
      <c r="E28" s="36" t="s">
        <v>254</v>
      </c>
    </row>
    <row r="29" customFormat="false" ht="31.5" hidden="false" customHeight="true" outlineLevel="0" collapsed="false">
      <c r="B29" s="151" t="n">
        <v>1</v>
      </c>
      <c r="C29" s="58" t="s">
        <v>266</v>
      </c>
      <c r="D29" s="57" t="s">
        <v>267</v>
      </c>
      <c r="E29" s="57"/>
    </row>
    <row r="30" customFormat="false" ht="31.5" hidden="false" customHeight="true" outlineLevel="0" collapsed="false">
      <c r="B30" s="151" t="n">
        <v>2</v>
      </c>
      <c r="C30" s="58" t="s">
        <v>268</v>
      </c>
      <c r="D30" s="57" t="s">
        <v>269</v>
      </c>
      <c r="E30" s="152" t="s">
        <v>270</v>
      </c>
    </row>
    <row r="31" customFormat="false" ht="31.5" hidden="false" customHeight="true" outlineLevel="0" collapsed="false">
      <c r="B31" s="151" t="n">
        <v>3</v>
      </c>
      <c r="C31" s="58" t="s">
        <v>271</v>
      </c>
      <c r="D31" s="57" t="s">
        <v>272</v>
      </c>
      <c r="E31" s="152" t="s">
        <v>273</v>
      </c>
    </row>
    <row r="32" customFormat="false" ht="31.5" hidden="false" customHeight="true" outlineLevel="0" collapsed="false">
      <c r="B32" s="151" t="n">
        <v>4</v>
      </c>
      <c r="C32" s="58" t="s">
        <v>274</v>
      </c>
      <c r="D32" s="57" t="s">
        <v>275</v>
      </c>
      <c r="E32" s="152" t="s">
        <v>276</v>
      </c>
    </row>
    <row r="33" customFormat="false" ht="31.5" hidden="false" customHeight="true" outlineLevel="0" collapsed="false">
      <c r="B33" s="151" t="n">
        <v>5</v>
      </c>
      <c r="C33" s="58" t="s">
        <v>277</v>
      </c>
      <c r="D33" s="57" t="s">
        <v>278</v>
      </c>
      <c r="E33" s="57"/>
    </row>
    <row r="34" customFormat="false" ht="31.5" hidden="false" customHeight="true" outlineLevel="0" collapsed="false">
      <c r="B34" s="151" t="n">
        <v>6</v>
      </c>
      <c r="C34" s="58" t="s">
        <v>279</v>
      </c>
      <c r="D34" s="57" t="s">
        <v>280</v>
      </c>
      <c r="E34" s="57"/>
    </row>
    <row r="35" customFormat="false" ht="31.5" hidden="false" customHeight="true" outlineLevel="0" collapsed="false">
      <c r="B35" s="151" t="n">
        <v>7</v>
      </c>
      <c r="C35" s="58" t="s">
        <v>281</v>
      </c>
      <c r="D35" s="57" t="s">
        <v>282</v>
      </c>
      <c r="E35" s="57"/>
    </row>
    <row r="36" customFormat="false" ht="31.5" hidden="false" customHeight="true" outlineLevel="0" collapsed="false">
      <c r="B36" s="151" t="n">
        <v>8</v>
      </c>
      <c r="C36" s="58" t="s">
        <v>283</v>
      </c>
      <c r="D36" s="57" t="s">
        <v>284</v>
      </c>
      <c r="E36" s="152" t="s">
        <v>285</v>
      </c>
    </row>
    <row r="37" customFormat="false" ht="31.5" hidden="false" customHeight="true" outlineLevel="0" collapsed="false">
      <c r="B37" s="151" t="n">
        <v>9</v>
      </c>
      <c r="C37" s="58" t="s">
        <v>286</v>
      </c>
      <c r="D37" s="57" t="s">
        <v>287</v>
      </c>
      <c r="E37" s="152" t="s">
        <v>288</v>
      </c>
    </row>
  </sheetData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true"/>
  </sheetPr>
  <dimension ref="B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289</v>
      </c>
    </row>
    <row r="3" customFormat="false" ht="15" hidden="false" customHeight="false" outlineLevel="0" collapsed="false">
      <c r="B3" s="55" t="s">
        <v>290</v>
      </c>
    </row>
    <row r="4" customFormat="false" ht="30" hidden="false" customHeight="true" outlineLevel="0" collapsed="false">
      <c r="B4" s="36" t="s">
        <v>132</v>
      </c>
      <c r="C4" s="36" t="s">
        <v>291</v>
      </c>
      <c r="D4" s="36" t="s">
        <v>253</v>
      </c>
      <c r="E4" s="36" t="s">
        <v>292</v>
      </c>
      <c r="F4" s="36" t="s">
        <v>36</v>
      </c>
      <c r="G4" s="36" t="s">
        <v>293</v>
      </c>
      <c r="H4" s="36" t="s">
        <v>294</v>
      </c>
      <c r="I4" s="36" t="s">
        <v>295</v>
      </c>
    </row>
    <row r="5" customFormat="false" ht="63.75" hidden="false" customHeight="true" outlineLevel="0" collapsed="false">
      <c r="B5" s="57" t="n">
        <v>1</v>
      </c>
      <c r="C5" s="58" t="s">
        <v>296</v>
      </c>
      <c r="D5" s="57" t="s">
        <v>297</v>
      </c>
      <c r="E5" s="57" t="s">
        <v>298</v>
      </c>
      <c r="F5" s="59" t="s">
        <v>299</v>
      </c>
      <c r="G5" s="59"/>
      <c r="H5" s="62"/>
      <c r="I5" s="59"/>
    </row>
    <row r="6" customFormat="false" ht="63.75" hidden="false" customHeight="true" outlineLevel="0" collapsed="false">
      <c r="B6" s="57" t="n">
        <v>2</v>
      </c>
      <c r="C6" s="58" t="s">
        <v>300</v>
      </c>
      <c r="D6" s="57" t="s">
        <v>301</v>
      </c>
      <c r="E6" s="57" t="s">
        <v>302</v>
      </c>
      <c r="F6" s="59" t="s">
        <v>299</v>
      </c>
      <c r="G6" s="59"/>
      <c r="H6" s="62"/>
      <c r="I6" s="59"/>
    </row>
    <row r="7" customFormat="false" ht="63.75" hidden="false" customHeight="true" outlineLevel="0" collapsed="false">
      <c r="B7" s="57" t="n">
        <v>3</v>
      </c>
      <c r="C7" s="58" t="s">
        <v>303</v>
      </c>
      <c r="D7" s="57" t="s">
        <v>304</v>
      </c>
      <c r="E7" s="57" t="s">
        <v>305</v>
      </c>
      <c r="F7" s="59" t="s">
        <v>299</v>
      </c>
      <c r="G7" s="59"/>
      <c r="H7" s="62"/>
      <c r="I7" s="59"/>
    </row>
    <row r="8" customFormat="false" ht="63.75" hidden="false" customHeight="true" outlineLevel="0" collapsed="false">
      <c r="B8" s="57" t="n">
        <v>4</v>
      </c>
      <c r="C8" s="58" t="s">
        <v>306</v>
      </c>
      <c r="D8" s="57" t="s">
        <v>307</v>
      </c>
      <c r="E8" s="57" t="s">
        <v>308</v>
      </c>
      <c r="F8" s="59" t="s">
        <v>299</v>
      </c>
      <c r="G8" s="59"/>
      <c r="H8" s="62"/>
      <c r="I8" s="59"/>
    </row>
    <row r="9" customFormat="false" ht="63.75" hidden="false" customHeight="true" outlineLevel="0" collapsed="false">
      <c r="B9" s="57" t="n">
        <v>5</v>
      </c>
      <c r="C9" s="58" t="s">
        <v>309</v>
      </c>
      <c r="D9" s="57" t="s">
        <v>310</v>
      </c>
      <c r="E9" s="57" t="s">
        <v>311</v>
      </c>
      <c r="F9" s="59" t="s">
        <v>299</v>
      </c>
      <c r="G9" s="59"/>
      <c r="H9" s="62"/>
      <c r="I9" s="59"/>
    </row>
    <row r="10" customFormat="false" ht="63.75" hidden="false" customHeight="true" outlineLevel="0" collapsed="false">
      <c r="B10" s="57" t="n">
        <v>6</v>
      </c>
      <c r="C10" s="58" t="s">
        <v>312</v>
      </c>
      <c r="D10" s="57" t="s">
        <v>313</v>
      </c>
      <c r="E10" s="57" t="s">
        <v>314</v>
      </c>
      <c r="F10" s="59" t="s">
        <v>299</v>
      </c>
      <c r="G10" s="59"/>
      <c r="H10" s="62"/>
      <c r="I10" s="59"/>
    </row>
    <row r="11" customFormat="false" ht="63.75" hidden="false" customHeight="true" outlineLevel="0" collapsed="false">
      <c r="B11" s="57" t="n">
        <v>7</v>
      </c>
      <c r="C11" s="58" t="s">
        <v>315</v>
      </c>
      <c r="D11" s="57" t="s">
        <v>316</v>
      </c>
      <c r="E11" s="57" t="s">
        <v>317</v>
      </c>
      <c r="F11" s="59" t="s">
        <v>299</v>
      </c>
      <c r="G11" s="59"/>
      <c r="H11" s="62"/>
      <c r="I11" s="59"/>
    </row>
  </sheetData>
  <conditionalFormatting sqref="F5:F11">
    <cfRule type="expression" priority="2" aboveAverage="0" equalAverage="0" bottom="0" percent="0" rank="0" text="" dxfId="0">
      <formula>F5="Pendiente"</formula>
    </cfRule>
    <cfRule type="expression" priority="3" aboveAverage="0" equalAverage="0" bottom="0" percent="0" rank="0" text="" dxfId="1">
      <formula>F5="En consulta"</formula>
    </cfRule>
    <cfRule type="expression" priority="4" aboveAverage="0" equalAverage="0" bottom="0" percent="0" rank="0" text="" dxfId="2">
      <formula>F5="Resuelta"</formula>
    </cfRule>
  </conditionalFormatting>
  <dataValidations count="1">
    <dataValidation allowBlank="false" error="Elige Pendiente, En consulta o Resuelta." errorStyle="stop" operator="between" showDropDown="false" showErrorMessage="true" showInputMessage="false" sqref="F5:F11" type="list">
      <formula1>Parámetros!$L$5:$L$7</formula1>
      <formula2>0</formula2>
    </dataValidation>
  </dataValidations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8A2"/>
    <pageSetUpPr fitToPage="true"/>
  </sheetPr>
  <dimension ref="B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66"/>
    <col collapsed="false" customWidth="true" hidden="false" outlineLevel="0" max="5" min="5" style="0" width="2"/>
    <col collapsed="false" customWidth="true" hidden="false" outlineLevel="0" max="6" min="6" style="0" width="19"/>
    <col collapsed="false" customWidth="true" hidden="false" outlineLevel="0" max="7" min="7" style="0" width="2"/>
    <col collapsed="false" customWidth="true" hidden="false" outlineLevel="0" max="8" min="8" style="0" width="19"/>
    <col collapsed="false" customWidth="true" hidden="false" outlineLevel="0" max="9" min="9" style="0" width="2"/>
    <col collapsed="false" customWidth="true" hidden="false" outlineLevel="0" max="10" min="10" style="0" width="19"/>
    <col collapsed="false" customWidth="true" hidden="false" outlineLevel="0" max="11" min="11" style="0" width="2"/>
    <col collapsed="false" customWidth="true" hidden="false" outlineLevel="0" max="12" min="12" style="0" width="19"/>
    <col collapsed="false" customWidth="true" hidden="false" outlineLevel="0" max="13" min="13" style="0" width="2"/>
    <col collapsed="false" customWidth="true" hidden="false" outlineLevel="0" max="14" min="14" style="0" width="19"/>
  </cols>
  <sheetData>
    <row r="1" customFormat="false" ht="15" hidden="false" customHeight="false" outlineLevel="0" collapsed="false">
      <c r="B1" s="53" t="s">
        <v>61</v>
      </c>
    </row>
    <row r="2" customFormat="false" ht="22.05" hidden="false" customHeight="false" outlineLevel="0" collapsed="false">
      <c r="B2" s="54" t="s">
        <v>318</v>
      </c>
    </row>
    <row r="3" customFormat="false" ht="15" hidden="false" customHeight="false" outlineLevel="0" collapsed="false">
      <c r="B3" s="55" t="s">
        <v>319</v>
      </c>
    </row>
    <row r="4" customFormat="false" ht="30" hidden="false" customHeight="true" outlineLevel="0" collapsed="false">
      <c r="B4" s="36" t="s">
        <v>320</v>
      </c>
      <c r="C4" s="36" t="s">
        <v>321</v>
      </c>
      <c r="D4" s="36" t="s">
        <v>322</v>
      </c>
      <c r="F4" s="112" t="s">
        <v>323</v>
      </c>
      <c r="H4" s="112" t="s">
        <v>324</v>
      </c>
      <c r="J4" s="112" t="s">
        <v>325</v>
      </c>
      <c r="L4" s="112" t="s">
        <v>326</v>
      </c>
      <c r="N4" s="112" t="s">
        <v>76</v>
      </c>
    </row>
    <row r="5" customFormat="false" ht="22.35" hidden="false" customHeight="false" outlineLevel="0" collapsed="false">
      <c r="B5" s="127" t="s">
        <v>327</v>
      </c>
      <c r="C5" s="153" t="n">
        <v>45946</v>
      </c>
      <c r="D5" s="154" t="s">
        <v>328</v>
      </c>
      <c r="F5" s="127" t="s">
        <v>14</v>
      </c>
      <c r="H5" s="127" t="s">
        <v>98</v>
      </c>
      <c r="J5" s="127" t="n">
        <v>15</v>
      </c>
      <c r="L5" s="127" t="s">
        <v>299</v>
      </c>
      <c r="N5" s="127" t="s">
        <v>91</v>
      </c>
    </row>
    <row r="6" customFormat="false" ht="15" hidden="false" customHeight="false" outlineLevel="0" collapsed="false">
      <c r="B6" s="127" t="s">
        <v>329</v>
      </c>
      <c r="C6" s="155" t="n">
        <v>589</v>
      </c>
      <c r="D6" s="154" t="s">
        <v>330</v>
      </c>
      <c r="F6" s="127" t="s">
        <v>88</v>
      </c>
      <c r="H6" s="127" t="s">
        <v>106</v>
      </c>
      <c r="J6" s="127" t="n">
        <v>30</v>
      </c>
      <c r="L6" s="127" t="s">
        <v>331</v>
      </c>
      <c r="N6" s="127" t="s">
        <v>92</v>
      </c>
    </row>
    <row r="7" customFormat="false" ht="15" hidden="false" customHeight="false" outlineLevel="0" collapsed="false">
      <c r="B7" s="127" t="s">
        <v>332</v>
      </c>
      <c r="C7" s="128" t="n">
        <f aca="false">C5+C6</f>
        <v>46535</v>
      </c>
      <c r="D7" s="154" t="s">
        <v>333</v>
      </c>
      <c r="F7" s="127" t="s">
        <v>89</v>
      </c>
      <c r="J7" s="127" t="n">
        <v>45</v>
      </c>
      <c r="L7" s="127" t="s">
        <v>334</v>
      </c>
      <c r="N7" s="127" t="s">
        <v>335</v>
      </c>
    </row>
    <row r="8" customFormat="false" ht="15" hidden="false" customHeight="false" outlineLevel="0" collapsed="false">
      <c r="B8" s="127" t="s">
        <v>336</v>
      </c>
      <c r="C8" s="134" t="n">
        <f aca="false">SUM(Desembolsos!$B$5:$B$8)</f>
        <v>471250</v>
      </c>
      <c r="D8" s="154" t="s">
        <v>337</v>
      </c>
      <c r="F8" s="127" t="s">
        <v>90</v>
      </c>
      <c r="J8" s="127" t="n">
        <v>60</v>
      </c>
    </row>
    <row r="9" customFormat="false" ht="15" hidden="false" customHeight="false" outlineLevel="0" collapsed="false">
      <c r="B9" s="127" t="s">
        <v>338</v>
      </c>
      <c r="C9" s="156" t="n">
        <v>40000</v>
      </c>
      <c r="D9" s="154" t="s">
        <v>339</v>
      </c>
      <c r="F9" s="127" t="s">
        <v>91</v>
      </c>
      <c r="J9" s="127" t="n">
        <v>90</v>
      </c>
    </row>
    <row r="10" customFormat="false" ht="15" hidden="false" customHeight="false" outlineLevel="0" collapsed="false">
      <c r="B10" s="127" t="s">
        <v>340</v>
      </c>
      <c r="C10" s="134" t="n">
        <f aca="false">C8+C9</f>
        <v>511250</v>
      </c>
      <c r="D10" s="154" t="s">
        <v>341</v>
      </c>
      <c r="F10" s="127" t="s">
        <v>92</v>
      </c>
    </row>
    <row r="11" customFormat="false" ht="15" hidden="false" customHeight="false" outlineLevel="0" collapsed="false">
      <c r="B11" s="127" t="s">
        <v>342</v>
      </c>
      <c r="C11" s="157" t="n">
        <v>0.7</v>
      </c>
      <c r="D11" s="154" t="s">
        <v>343</v>
      </c>
      <c r="F11" s="127" t="s">
        <v>93</v>
      </c>
    </row>
    <row r="12" customFormat="false" ht="15" hidden="false" customHeight="false" outlineLevel="0" collapsed="false">
      <c r="B12" s="127" t="s">
        <v>344</v>
      </c>
      <c r="C12" s="155" t="n">
        <v>540</v>
      </c>
      <c r="D12" s="154" t="s">
        <v>345</v>
      </c>
    </row>
    <row r="13" customFormat="false" ht="15" hidden="false" customHeight="false" outlineLevel="0" collapsed="false">
      <c r="B13" s="127" t="s">
        <v>346</v>
      </c>
      <c r="C13" s="155" t="n">
        <v>7</v>
      </c>
      <c r="D13" s="154" t="s">
        <v>347</v>
      </c>
    </row>
    <row r="14" customFormat="false" ht="15" hidden="false" customHeight="false" outlineLevel="0" collapsed="false">
      <c r="B14" s="127" t="s">
        <v>348</v>
      </c>
      <c r="C14" s="155" t="n">
        <v>5</v>
      </c>
      <c r="D14" s="154" t="s">
        <v>349</v>
      </c>
    </row>
    <row r="15" customFormat="false" ht="15" hidden="false" customHeight="false" outlineLevel="0" collapsed="false">
      <c r="B15" s="127" t="s">
        <v>350</v>
      </c>
      <c r="C15" s="155" t="n">
        <v>10</v>
      </c>
      <c r="D15" s="154" t="s">
        <v>351</v>
      </c>
    </row>
    <row r="18" customFormat="false" ht="15" hidden="false" customHeight="false" outlineLevel="0" collapsed="false">
      <c r="B18" s="125" t="s">
        <v>352</v>
      </c>
    </row>
    <row r="19" customFormat="false" ht="15" hidden="false" customHeight="false" outlineLevel="0" collapsed="false">
      <c r="B19" s="158" t="s">
        <v>353</v>
      </c>
      <c r="C19" s="158"/>
      <c r="D19" s="158"/>
    </row>
    <row r="20" customFormat="false" ht="15" hidden="false" customHeight="false" outlineLevel="0" collapsed="false">
      <c r="B20" s="158" t="s">
        <v>354</v>
      </c>
      <c r="C20" s="158"/>
      <c r="D20" s="158"/>
    </row>
    <row r="21" customFormat="false" ht="15" hidden="false" customHeight="false" outlineLevel="0" collapsed="false">
      <c r="B21" s="158" t="s">
        <v>355</v>
      </c>
      <c r="C21" s="158"/>
      <c r="D21" s="158"/>
    </row>
    <row r="22" customFormat="false" ht="15" hidden="false" customHeight="false" outlineLevel="0" collapsed="false">
      <c r="B22" s="158" t="s">
        <v>356</v>
      </c>
      <c r="C22" s="158"/>
      <c r="D22" s="158"/>
    </row>
    <row r="23" customFormat="false" ht="15" hidden="false" customHeight="false" outlineLevel="0" collapsed="false">
      <c r="B23" s="158" t="s">
        <v>357</v>
      </c>
      <c r="C23" s="158"/>
      <c r="D23" s="158"/>
    </row>
    <row r="24" customFormat="false" ht="15" hidden="false" customHeight="false" outlineLevel="0" collapsed="false">
      <c r="B24" s="158" t="s">
        <v>358</v>
      </c>
      <c r="C24" s="158"/>
      <c r="D24" s="158"/>
    </row>
  </sheetData>
  <mergeCells count="6">
    <mergeCell ref="B19:D19"/>
    <mergeCell ref="B20:D20"/>
    <mergeCell ref="B21:D21"/>
    <mergeCell ref="B22:D22"/>
    <mergeCell ref="B23:D23"/>
    <mergeCell ref="B24:D24"/>
  </mergeCells>
  <hyperlinks>
    <hyperlink ref="B1" location="'Panel'!A1" display="← Volver al Pan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8A2"/>
    <pageSetUpPr fitToPage="true"/>
  </sheetPr>
  <dimension ref="B2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1" min="3" style="0" width="13"/>
  </cols>
  <sheetData>
    <row r="2" customFormat="false" ht="22.05" hidden="false" customHeight="false" outlineLevel="0" collapsed="false">
      <c r="B2" s="54" t="s">
        <v>359</v>
      </c>
    </row>
    <row r="3" customFormat="false" ht="15" hidden="false" customHeight="false" outlineLevel="0" collapsed="false">
      <c r="B3" s="55" t="s">
        <v>360</v>
      </c>
    </row>
    <row r="4" customFormat="false" ht="30" hidden="false" customHeight="true" outlineLevel="0" collapsed="false">
      <c r="B4" s="36" t="s">
        <v>32</v>
      </c>
      <c r="C4" s="36" t="s">
        <v>182</v>
      </c>
      <c r="D4" s="36" t="s">
        <v>88</v>
      </c>
      <c r="E4" s="36" t="s">
        <v>89</v>
      </c>
      <c r="F4" s="36" t="s">
        <v>90</v>
      </c>
      <c r="G4" s="36" t="s">
        <v>91</v>
      </c>
      <c r="H4" s="36" t="s">
        <v>92</v>
      </c>
      <c r="I4" s="36" t="s">
        <v>93</v>
      </c>
      <c r="J4" s="36" t="s">
        <v>184</v>
      </c>
    </row>
    <row r="5" customFormat="false" ht="15" hidden="false" customHeight="false" outlineLevel="0" collapsed="false">
      <c r="B5" s="127" t="str">
        <f aca="false">Entregables!D5</f>
        <v>Producto 1</v>
      </c>
      <c r="C5" s="128" t="n">
        <f aca="false">Entregables!G5</f>
        <v>45946</v>
      </c>
      <c r="D5" s="127" t="n">
        <f aca="false">IF(Entregables!S5="Por entregar",Entregables!H5-Entregables!G5+1,0)</f>
        <v>0</v>
      </c>
      <c r="E5" s="127" t="n">
        <f aca="false">IF(Entregables!S5="Por vencer",Entregables!H5-Entregables!G5+1,0)</f>
        <v>0</v>
      </c>
      <c r="F5" s="127" t="n">
        <f aca="false">IF(Entregables!S5="Vencido",Entregables!H5-Entregables!G5+1,0)</f>
        <v>0</v>
      </c>
      <c r="G5" s="127" t="n">
        <f aca="false">IF(Entregables!S5="En revisión",Entregables!H5-Entregables!G5+1,0)</f>
        <v>66</v>
      </c>
      <c r="H5" s="127" t="n">
        <f aca="false">IF(Entregables!S5="Observado",Entregables!H5-Entregables!G5+1,0)</f>
        <v>0</v>
      </c>
      <c r="I5" s="127" t="n">
        <f aca="false">IF(Entregables!S5="Aprobado",Entregables!H5-Entregables!G5+1,0)</f>
        <v>0</v>
      </c>
      <c r="J5" s="127" t="n">
        <v>0</v>
      </c>
    </row>
    <row r="6" customFormat="false" ht="15" hidden="false" customHeight="false" outlineLevel="0" collapsed="false">
      <c r="B6" s="127" t="str">
        <f aca="false">Entregables!D6</f>
        <v>Producto 2 · Parte I</v>
      </c>
      <c r="C6" s="128" t="n">
        <f aca="false">Entregables!G6</f>
        <v>46012</v>
      </c>
      <c r="D6" s="127" t="n">
        <f aca="false">IF(Entregables!S6="Por entregar",Entregables!H6-Entregables!G6+1,0)</f>
        <v>0</v>
      </c>
      <c r="E6" s="127" t="n">
        <f aca="false">IF(Entregables!S6="Por vencer",Entregables!H6-Entregables!G6+1,0)</f>
        <v>0</v>
      </c>
      <c r="F6" s="127" t="n">
        <f aca="false">IF(Entregables!S6="Vencido",Entregables!H6-Entregables!G6+1,0)</f>
        <v>131</v>
      </c>
      <c r="G6" s="127" t="n">
        <f aca="false">IF(Entregables!S6="En revisión",Entregables!H6-Entregables!G6+1,0)</f>
        <v>0</v>
      </c>
      <c r="H6" s="127" t="n">
        <f aca="false">IF(Entregables!S6="Observado",Entregables!H6-Entregables!G6+1,0)</f>
        <v>0</v>
      </c>
      <c r="I6" s="127" t="n">
        <f aca="false">IF(Entregables!S6="Aprobado",Entregables!H6-Entregables!G6+1,0)</f>
        <v>0</v>
      </c>
      <c r="J6" s="127" t="n">
        <v>0</v>
      </c>
    </row>
    <row r="7" customFormat="false" ht="15" hidden="false" customHeight="false" outlineLevel="0" collapsed="false">
      <c r="B7" s="127" t="str">
        <f aca="false">Entregables!D7</f>
        <v>Producto 2 · Parte II</v>
      </c>
      <c r="C7" s="128" t="n">
        <f aca="false">Entregables!G7</f>
        <v>46143</v>
      </c>
      <c r="D7" s="127" t="n">
        <f aca="false">IF(Entregables!S7="Por entregar",Entregables!H7-Entregables!G7+1,0)</f>
        <v>0</v>
      </c>
      <c r="E7" s="127" t="n">
        <f aca="false">IF(Entregables!S7="Por vencer",Entregables!H7-Entregables!G7+1,0)</f>
        <v>0</v>
      </c>
      <c r="F7" s="127" t="n">
        <f aca="false">IF(Entregables!S7="Vencido",Entregables!H7-Entregables!G7+1,0)</f>
        <v>61</v>
      </c>
      <c r="G7" s="127" t="n">
        <f aca="false">IF(Entregables!S7="En revisión",Entregables!H7-Entregables!G7+1,0)</f>
        <v>0</v>
      </c>
      <c r="H7" s="127" t="n">
        <f aca="false">IF(Entregables!S7="Observado",Entregables!H7-Entregables!G7+1,0)</f>
        <v>0</v>
      </c>
      <c r="I7" s="127" t="n">
        <f aca="false">IF(Entregables!S7="Aprobado",Entregables!H7-Entregables!G7+1,0)</f>
        <v>0</v>
      </c>
      <c r="J7" s="127" t="n">
        <v>0</v>
      </c>
    </row>
    <row r="8" customFormat="false" ht="15" hidden="false" customHeight="false" outlineLevel="0" collapsed="false">
      <c r="B8" s="127" t="str">
        <f aca="false">Entregables!D8</f>
        <v>Producto 3</v>
      </c>
      <c r="C8" s="128" t="n">
        <f aca="false">Entregables!G8</f>
        <v>46204</v>
      </c>
      <c r="D8" s="127" t="n">
        <f aca="false">IF(Entregables!S8="Por entregar",Entregables!H8-Entregables!G8+1,0)</f>
        <v>171</v>
      </c>
      <c r="E8" s="127" t="n">
        <f aca="false">IF(Entregables!S8="Por vencer",Entregables!H8-Entregables!G8+1,0)</f>
        <v>0</v>
      </c>
      <c r="F8" s="127" t="n">
        <f aca="false">IF(Entregables!S8="Vencido",Entregables!H8-Entregables!G8+1,0)</f>
        <v>0</v>
      </c>
      <c r="G8" s="127" t="n">
        <f aca="false">IF(Entregables!S8="En revisión",Entregables!H8-Entregables!G8+1,0)</f>
        <v>0</v>
      </c>
      <c r="H8" s="127" t="n">
        <f aca="false">IF(Entregables!S8="Observado",Entregables!H8-Entregables!G8+1,0)</f>
        <v>0</v>
      </c>
      <c r="I8" s="127" t="n">
        <f aca="false">IF(Entregables!S8="Aprobado",Entregables!H8-Entregables!G8+1,0)</f>
        <v>0</v>
      </c>
      <c r="J8" s="127" t="n">
        <v>0</v>
      </c>
    </row>
    <row r="9" customFormat="false" ht="15" hidden="false" customHeight="false" outlineLevel="0" collapsed="false">
      <c r="B9" s="127" t="str">
        <f aca="false">Entregables!D9</f>
        <v>Producto 4</v>
      </c>
      <c r="C9" s="128" t="n">
        <f aca="false">Entregables!G9</f>
        <v>46375</v>
      </c>
      <c r="D9" s="127" t="n">
        <f aca="false">IF(Entregables!S9="Por entregar",Entregables!H9-Entregables!G9+1,0)</f>
        <v>133</v>
      </c>
      <c r="E9" s="127" t="n">
        <f aca="false">IF(Entregables!S9="Por vencer",Entregables!H9-Entregables!G9+1,0)</f>
        <v>0</v>
      </c>
      <c r="F9" s="127" t="n">
        <f aca="false">IF(Entregables!S9="Vencido",Entregables!H9-Entregables!G9+1,0)</f>
        <v>0</v>
      </c>
      <c r="G9" s="127" t="n">
        <f aca="false">IF(Entregables!S9="En revisión",Entregables!H9-Entregables!G9+1,0)</f>
        <v>0</v>
      </c>
      <c r="H9" s="127" t="n">
        <f aca="false">IF(Entregables!S9="Observado",Entregables!H9-Entregables!G9+1,0)</f>
        <v>0</v>
      </c>
      <c r="I9" s="127" t="n">
        <f aca="false">IF(Entregables!S9="Aprobado",Entregables!H9-Entregables!G9+1,0)</f>
        <v>0</v>
      </c>
      <c r="J9" s="127" t="n">
        <v>0</v>
      </c>
    </row>
    <row r="10" customFormat="false" ht="15" hidden="false" customHeight="false" outlineLevel="0" collapsed="false">
      <c r="B10" s="127" t="s">
        <v>183</v>
      </c>
      <c r="C10" s="128" t="n">
        <f aca="false">Entregables!H9+1</f>
        <v>46508</v>
      </c>
      <c r="D10" s="127" t="n">
        <v>0</v>
      </c>
      <c r="E10" s="127" t="n">
        <v>0</v>
      </c>
      <c r="F10" s="127" t="n">
        <v>0</v>
      </c>
      <c r="G10" s="127" t="n">
        <v>0</v>
      </c>
      <c r="H10" s="127" t="n">
        <v>0</v>
      </c>
      <c r="I10" s="127" t="n">
        <v>0</v>
      </c>
      <c r="J10" s="127" t="n">
        <f aca="false">Cierre-C10+1</f>
        <v>28</v>
      </c>
    </row>
    <row r="13" customFormat="false" ht="30" hidden="false" customHeight="true" outlineLevel="0" collapsed="false">
      <c r="B13" s="36" t="s">
        <v>361</v>
      </c>
      <c r="C13" s="36" t="s">
        <v>133</v>
      </c>
    </row>
    <row r="14" customFormat="false" ht="15" hidden="false" customHeight="false" outlineLevel="0" collapsed="false">
      <c r="B14" s="127" t="s">
        <v>157</v>
      </c>
      <c r="C14" s="134" t="n">
        <f aca="false">Desembolsos!V9</f>
        <v>0</v>
      </c>
    </row>
    <row r="15" customFormat="false" ht="15" hidden="false" customHeight="false" outlineLevel="0" collapsed="false">
      <c r="B15" s="127" t="s">
        <v>158</v>
      </c>
      <c r="C15" s="134" t="n">
        <f aca="false">Desembolsos!W9</f>
        <v>0</v>
      </c>
    </row>
    <row r="16" customFormat="false" ht="15" hidden="false" customHeight="false" outlineLevel="0" collapsed="false">
      <c r="B16" s="127" t="s">
        <v>159</v>
      </c>
      <c r="C16" s="134" t="n">
        <f aca="false">Desembolsos!X9</f>
        <v>0</v>
      </c>
    </row>
    <row r="17" customFormat="false" ht="15" hidden="false" customHeight="false" outlineLevel="0" collapsed="false">
      <c r="B17" s="127" t="s">
        <v>160</v>
      </c>
      <c r="C17" s="134" t="n">
        <f aca="false">Desembolsos!Y9</f>
        <v>141375</v>
      </c>
    </row>
    <row r="18" customFormat="false" ht="15" hidden="false" customHeight="false" outlineLevel="0" collapsed="false">
      <c r="B18" s="127" t="s">
        <v>161</v>
      </c>
      <c r="C18" s="134" t="n">
        <f aca="false">Desembolsos!Z9</f>
        <v>329875</v>
      </c>
    </row>
    <row r="20" customFormat="false" ht="30" hidden="false" customHeight="true" outlineLevel="0" collapsed="false">
      <c r="B20" s="36" t="s">
        <v>73</v>
      </c>
      <c r="C20" s="36" t="s">
        <v>157</v>
      </c>
      <c r="D20" s="36" t="s">
        <v>158</v>
      </c>
      <c r="E20" s="36" t="s">
        <v>159</v>
      </c>
      <c r="F20" s="36" t="s">
        <v>160</v>
      </c>
      <c r="G20" s="36" t="s">
        <v>161</v>
      </c>
    </row>
    <row r="21" customFormat="false" ht="15" hidden="false" customHeight="false" outlineLevel="0" collapsed="false">
      <c r="B21" s="127" t="str">
        <f aca="false">Desembolsos!A5&amp;" · "&amp;TEXT(Desembolsos!C5*100,"0")&amp;" %"</f>
        <v>D1 · 30 %</v>
      </c>
      <c r="C21" s="134" t="n">
        <f aca="false">Desembolsos!V5</f>
        <v>0</v>
      </c>
      <c r="D21" s="134" t="n">
        <f aca="false">Desembolsos!W5</f>
        <v>0</v>
      </c>
      <c r="E21" s="134" t="n">
        <f aca="false">Desembolsos!X5</f>
        <v>0</v>
      </c>
      <c r="F21" s="134" t="n">
        <f aca="false">Desembolsos!Y5</f>
        <v>141375</v>
      </c>
      <c r="G21" s="134" t="n">
        <f aca="false">Desembolsos!Z5</f>
        <v>0</v>
      </c>
    </row>
    <row r="22" customFormat="false" ht="15" hidden="false" customHeight="false" outlineLevel="0" collapsed="false">
      <c r="B22" s="127" t="str">
        <f aca="false">Desembolsos!A6&amp;" · "&amp;TEXT(Desembolsos!C6*100,"0")&amp;" %"</f>
        <v>D2 · 30 %</v>
      </c>
      <c r="C22" s="134" t="n">
        <f aca="false">Desembolsos!V6</f>
        <v>0</v>
      </c>
      <c r="D22" s="134" t="n">
        <f aca="false">Desembolsos!W6</f>
        <v>0</v>
      </c>
      <c r="E22" s="134" t="n">
        <f aca="false">Desembolsos!X6</f>
        <v>0</v>
      </c>
      <c r="F22" s="134" t="n">
        <f aca="false">Desembolsos!Y6</f>
        <v>0</v>
      </c>
      <c r="G22" s="134" t="n">
        <f aca="false">Desembolsos!Z6</f>
        <v>141375</v>
      </c>
    </row>
    <row r="23" customFormat="false" ht="15" hidden="false" customHeight="false" outlineLevel="0" collapsed="false">
      <c r="B23" s="127" t="str">
        <f aca="false">Desembolsos!A7&amp;" · "&amp;TEXT(Desembolsos!C7*100,"0")&amp;" %"</f>
        <v>D3 · 25 %</v>
      </c>
      <c r="C23" s="134" t="n">
        <f aca="false">Desembolsos!V7</f>
        <v>0</v>
      </c>
      <c r="D23" s="134" t="n">
        <f aca="false">Desembolsos!W7</f>
        <v>0</v>
      </c>
      <c r="E23" s="134" t="n">
        <f aca="false">Desembolsos!X7</f>
        <v>0</v>
      </c>
      <c r="F23" s="134" t="n">
        <f aca="false">Desembolsos!Y7</f>
        <v>0</v>
      </c>
      <c r="G23" s="134" t="n">
        <f aca="false">Desembolsos!Z7</f>
        <v>117812</v>
      </c>
    </row>
    <row r="24" customFormat="false" ht="15" hidden="false" customHeight="false" outlineLevel="0" collapsed="false">
      <c r="B24" s="127" t="str">
        <f aca="false">Desembolsos!A8&amp;" · "&amp;TEXT(Desembolsos!C8*100,"0")&amp;" %"</f>
        <v>D4 · 15 %</v>
      </c>
      <c r="C24" s="134" t="n">
        <f aca="false">Desembolsos!V8</f>
        <v>0</v>
      </c>
      <c r="D24" s="134" t="n">
        <f aca="false">Desembolsos!W8</f>
        <v>0</v>
      </c>
      <c r="E24" s="134" t="n">
        <f aca="false">Desembolsos!X8</f>
        <v>0</v>
      </c>
      <c r="F24" s="134" t="n">
        <f aca="false">Desembolsos!Y8</f>
        <v>0</v>
      </c>
      <c r="G24" s="134" t="n">
        <f aca="false">Desembolsos!Z8</f>
        <v>70688</v>
      </c>
    </row>
    <row r="26" customFormat="false" ht="30" hidden="false" customHeight="true" outlineLevel="0" collapsed="false">
      <c r="B26" s="36" t="s">
        <v>362</v>
      </c>
      <c r="C26" s="36" t="s">
        <v>363</v>
      </c>
    </row>
    <row r="27" customFormat="false" ht="15" hidden="false" customHeight="false" outlineLevel="0" collapsed="false">
      <c r="B27" s="127" t="s">
        <v>88</v>
      </c>
      <c r="C27" s="127" t="n">
        <f aca="false">COUNTIF(Entregables!$S$5:$S$9,"Por entregar")</f>
        <v>2</v>
      </c>
    </row>
    <row r="28" customFormat="false" ht="15" hidden="false" customHeight="false" outlineLevel="0" collapsed="false">
      <c r="B28" s="127" t="s">
        <v>89</v>
      </c>
      <c r="C28" s="127" t="n">
        <f aca="false">COUNTIF(Entregables!$S$5:$S$9,"Por vencer")</f>
        <v>0</v>
      </c>
    </row>
    <row r="29" customFormat="false" ht="15" hidden="false" customHeight="false" outlineLevel="0" collapsed="false">
      <c r="B29" s="127" t="s">
        <v>90</v>
      </c>
      <c r="C29" s="127" t="n">
        <f aca="false">COUNTIF(Entregables!$S$5:$S$9,"Vencido")</f>
        <v>2</v>
      </c>
    </row>
    <row r="30" customFormat="false" ht="15" hidden="false" customHeight="false" outlineLevel="0" collapsed="false">
      <c r="B30" s="127" t="s">
        <v>91</v>
      </c>
      <c r="C30" s="127" t="n">
        <f aca="false">COUNTIF(Entregables!$S$5:$S$9,"En revisión")</f>
        <v>1</v>
      </c>
    </row>
    <row r="31" customFormat="false" ht="15" hidden="false" customHeight="false" outlineLevel="0" collapsed="false">
      <c r="B31" s="127" t="s">
        <v>92</v>
      </c>
      <c r="C31" s="127" t="n">
        <f aca="false">COUNTIF(Entregables!$S$5:$S$9,"Observado")</f>
        <v>0</v>
      </c>
    </row>
    <row r="32" customFormat="false" ht="15" hidden="false" customHeight="false" outlineLevel="0" collapsed="false">
      <c r="B32" s="127" t="s">
        <v>93</v>
      </c>
      <c r="C32" s="127" t="n">
        <f aca="false">COUNTIF(Entregables!$S$5:$S$9,"Aprobado")</f>
        <v>0</v>
      </c>
    </row>
    <row r="34" customFormat="false" ht="30" hidden="false" customHeight="true" outlineLevel="0" collapsed="false">
      <c r="B34" s="36" t="s">
        <v>364</v>
      </c>
      <c r="C34" s="36" t="s">
        <v>363</v>
      </c>
    </row>
    <row r="35" customFormat="false" ht="15" hidden="false" customHeight="false" outlineLevel="0" collapsed="false">
      <c r="B35" s="127" t="s">
        <v>157</v>
      </c>
      <c r="C35" s="127" t="n">
        <f aca="false">COUNTIF(Desembolsos!$T$5:$T$8,"Desembolsado")</f>
        <v>0</v>
      </c>
    </row>
    <row r="36" customFormat="false" ht="15" hidden="false" customHeight="false" outlineLevel="0" collapsed="false">
      <c r="B36" s="127" t="s">
        <v>158</v>
      </c>
      <c r="C36" s="127" t="n">
        <f aca="false">COUNTIF(Desembolsos!$T$5:$T$8,"Listo para solicitar")</f>
        <v>0</v>
      </c>
    </row>
    <row r="37" customFormat="false" ht="15" hidden="false" customHeight="false" outlineLevel="0" collapsed="false">
      <c r="B37" s="127" t="s">
        <v>159</v>
      </c>
      <c r="C37" s="127" t="n">
        <f aca="false">COUNTIF(Desembolsos!$T$5:$T$8,"Falta rendición")</f>
        <v>0</v>
      </c>
    </row>
    <row r="38" customFormat="false" ht="15" hidden="false" customHeight="false" outlineLevel="0" collapsed="false">
      <c r="B38" s="127" t="s">
        <v>160</v>
      </c>
      <c r="C38" s="127" t="n">
        <f aca="false">COUNTIF(Desembolsos!$T$5:$T$8,"En conformidad")</f>
        <v>1</v>
      </c>
    </row>
    <row r="39" customFormat="false" ht="15" hidden="false" customHeight="false" outlineLevel="0" collapsed="false">
      <c r="B39" s="127" t="s">
        <v>161</v>
      </c>
      <c r="C39" s="127" t="n">
        <f aca="false">COUNTIF(Desembolsos!$T$5:$T$8,"Pendiente de producto")</f>
        <v>3</v>
      </c>
    </row>
    <row r="41" customFormat="false" ht="30" hidden="false" customHeight="true" outlineLevel="0" collapsed="false">
      <c r="B41" s="36" t="s">
        <v>365</v>
      </c>
      <c r="C41" s="36" t="s">
        <v>321</v>
      </c>
    </row>
    <row r="42" customFormat="false" ht="15" hidden="false" customHeight="false" outlineLevel="0" collapsed="false">
      <c r="B42" s="127" t="s">
        <v>366</v>
      </c>
      <c r="C42" s="128" t="n">
        <f aca="false">_xlfn.MINIFS(Entregables!$H$5:$H$9,Entregables!$L$5:$L$9,"&lt;&gt;Sí",Entregables!$H$5:$H$9,"&gt;="&amp;FechaRef)</f>
        <v>46374</v>
      </c>
    </row>
    <row r="43" customFormat="false" ht="15" hidden="false" customHeight="false" outlineLevel="0" collapsed="false">
      <c r="B43" s="127" t="s">
        <v>367</v>
      </c>
      <c r="C43" s="127" t="str">
        <f aca="false">IF('Datos gráficos'!$C$42=0,"",INDEX(Entregables!$D$5:$D$9,MATCH('Datos gráficos'!$C$42,Entregables!$H$5:$H$9,0)))</f>
        <v>Producto 3</v>
      </c>
    </row>
    <row r="44" customFormat="false" ht="15" hidden="false" customHeight="false" outlineLevel="0" collapsed="false">
      <c r="B44" s="127" t="s">
        <v>368</v>
      </c>
      <c r="C44" s="131" t="n">
        <f aca="false">IF('Datos gráficos'!$C$42=0,"",'Datos gráficos'!$C$42-FechaRef)</f>
        <v>65</v>
      </c>
    </row>
    <row r="45" customFormat="false" ht="15" hidden="false" customHeight="false" outlineLevel="0" collapsed="false">
      <c r="B45" s="127" t="s">
        <v>369</v>
      </c>
      <c r="C45" s="131" t="n">
        <f aca="false">COUNTIF(Entregables!$S$5:$S$9,"Vencido")</f>
        <v>2</v>
      </c>
    </row>
    <row r="46" customFormat="false" ht="15" hidden="false" customHeight="false" outlineLevel="0" collapsed="false">
      <c r="B46" s="127" t="s">
        <v>370</v>
      </c>
      <c r="C46" s="131" t="n">
        <f aca="false">COUNTIF(Entregables!$S$5:$S$9,"Por vencer")</f>
        <v>0</v>
      </c>
    </row>
    <row r="47" customFormat="false" ht="15" hidden="false" customHeight="false" outlineLevel="0" collapsed="false">
      <c r="B47" s="127" t="s">
        <v>371</v>
      </c>
      <c r="C47" s="131" t="n">
        <f aca="false">COUNTIF(Entregables!$L$5:$L$9,"Sí")</f>
        <v>1</v>
      </c>
    </row>
    <row r="48" customFormat="false" ht="15" hidden="false" customHeight="false" outlineLevel="0" collapsed="false">
      <c r="B48" s="127" t="s">
        <v>372</v>
      </c>
      <c r="C48" s="131" t="n">
        <f aca="false">COUNTIF(Entregables!$S$5:$S$9,"Aprobado")</f>
        <v>0</v>
      </c>
    </row>
    <row r="49" customFormat="false" ht="15" hidden="false" customHeight="false" outlineLevel="0" collapsed="false">
      <c r="B49" s="127" t="s">
        <v>373</v>
      </c>
      <c r="C49" s="132" t="n">
        <f aca="false">SUMIF(Entregables!$L$5:$L$9,"Sí",Entregables!$J$5:$J$9)</f>
        <v>0.3</v>
      </c>
    </row>
    <row r="50" customFormat="false" ht="15" hidden="false" customHeight="false" outlineLevel="0" collapsed="false">
      <c r="B50" s="127" t="s">
        <v>374</v>
      </c>
      <c r="C50" s="132" t="n">
        <f aca="false">IF(TotalCARE=0,0,Desembolsos!V9/TotalCARE)</f>
        <v>0</v>
      </c>
    </row>
    <row r="51" customFormat="false" ht="15" hidden="false" customHeight="false" outlineLevel="0" collapsed="false">
      <c r="B51" s="127" t="s">
        <v>375</v>
      </c>
      <c r="C51" s="132" t="n">
        <f aca="false">IF(Desembolsos!V9=0,0,MIN(1,SUMIF(Desembolsos!$O$5:$O$8,"Sí",Desembolsos!$Q$5:$Q$8)/Desembolsos!V9))</f>
        <v>0</v>
      </c>
    </row>
    <row r="52" customFormat="false" ht="15" hidden="false" customHeight="false" outlineLevel="0" collapsed="false">
      <c r="B52" s="127" t="s">
        <v>376</v>
      </c>
      <c r="C52" s="132" t="n">
        <f aca="false">MAX(0,MIN(1,(FechaRef-Inicio)/DiasConvenio))</f>
        <v>0.616298811544992</v>
      </c>
    </row>
    <row r="53" customFormat="false" ht="15" hidden="false" customHeight="false" outlineLevel="0" collapsed="false">
      <c r="B53" s="127" t="s">
        <v>377</v>
      </c>
      <c r="C53" s="131" t="n">
        <f aca="false">Cierre-FechaRef</f>
        <v>226</v>
      </c>
    </row>
    <row r="54" customFormat="false" ht="15" hidden="false" customHeight="false" outlineLevel="0" collapsed="false">
      <c r="B54" s="127" t="s">
        <v>378</v>
      </c>
      <c r="C54" s="131" t="n">
        <f aca="false">COUNTIF(Dudas!$F$5:$F$11,"&lt;&gt;Resuelta")</f>
        <v>7</v>
      </c>
    </row>
    <row r="55" customFormat="false" ht="15" hidden="false" customHeight="false" outlineLevel="0" collapsed="false">
      <c r="B55" s="127" t="s">
        <v>379</v>
      </c>
      <c r="C55" s="131" t="n">
        <f aca="false">COUNTIF(Entregables!$AA$5:$AA$9,TRUE())</f>
        <v>5</v>
      </c>
    </row>
    <row r="56" customFormat="false" ht="15" hidden="false" customHeight="false" outlineLevel="0" collapsed="false">
      <c r="B56" s="127" t="s">
        <v>380</v>
      </c>
      <c r="C56" s="131" t="n">
        <f aca="false">IFERROR(MATCH(ProdSel,Entregables!$D$5:$D$9,0),1)</f>
        <v>4</v>
      </c>
    </row>
    <row r="57" customFormat="false" ht="15" hidden="false" customHeight="false" outlineLevel="0" collapsed="false">
      <c r="B57" s="127" t="s">
        <v>179</v>
      </c>
      <c r="C57" s="134" t="n">
        <f aca="false">Desembolsos!S9</f>
        <v>0</v>
      </c>
    </row>
    <row r="58" customFormat="false" ht="15" hidden="false" customHeight="false" outlineLevel="0" collapsed="false">
      <c r="B58" s="127" t="s">
        <v>381</v>
      </c>
      <c r="C58" s="134" t="n">
        <f aca="false">SUMIF(Desembolsos!$O$5:$O$8,"Sí",Desembolsos!$Q$5:$Q$8)</f>
        <v>0</v>
      </c>
    </row>
    <row r="59" customFormat="false" ht="15" hidden="false" customHeight="false" outlineLevel="0" collapsed="false">
      <c r="B59" s="127" t="s">
        <v>382</v>
      </c>
      <c r="C59" s="131" t="n">
        <f aca="false">COUNTIF(Entregables!$S$5:$S$9,"Observado")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2026-10-14T11:49:22Z</dcterms:created>
  <dc:creator>openpyxl</dc:creator>
  <dc:description/>
  <dc:language>en-US</dc:language>
  <cp:lastModifiedBy/>
  <dcterms:modified xsi:type="dcterms:W3CDTF">2026-10-14T11:49:24Z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