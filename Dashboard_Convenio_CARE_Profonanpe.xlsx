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nel" sheetId="1" state="visible" r:id="rId3"/>
    <sheet name="Entregables" sheetId="2" state="visible" r:id="rId4"/>
    <sheet name="Desembolsos" sheetId="3" state="visible" r:id="rId5"/>
    <sheet name="Línea de tiempo" sheetId="4" state="visible" r:id="rId6"/>
    <sheet name="Comparativo" sheetId="5" state="visible" r:id="rId7"/>
    <sheet name="Paso a paso" sheetId="6" state="visible" r:id="rId8"/>
    <sheet name="Dudas" sheetId="7" state="visible" r:id="rId9"/>
    <sheet name="Parámetros" sheetId="8" state="visible" r:id="rId10"/>
    <sheet name="Datos gráficos" sheetId="9" state="visible" r:id="rId11"/>
  </sheets>
  <definedNames>
    <definedName function="false" hidden="true" localSheetId="1" name="_xlnm._FilterDatabase" vbProcedure="false">Entregables!$A$4:$T$9</definedName>
    <definedName function="false" hidden="false" name="Cierre" vbProcedure="false">Parámetros!$C$7</definedName>
    <definedName function="false" hidden="false" name="DiasAviso" vbProcedure="false">Panel!$E$6</definedName>
    <definedName function="false" hidden="false" name="DiasConvenio" vbProcedure="false">Parámetros!$C$6</definedName>
    <definedName function="false" hidden="false" name="FechaRef" vbProcedure="false">Panel!$D$6</definedName>
    <definedName function="false" hidden="false" name="FiltroEstado" vbProcedure="false">Panel!$H$6</definedName>
    <definedName function="false" hidden="false" name="FinOriginal" vbProcedure="false">Parámetros!$C$12</definedName>
    <definedName function="false" hidden="false" name="Inicio" vbProcedure="false">Parámetros!$C$5</definedName>
    <definedName function="false" hidden="false" name="ProdSel" vbProcedure="false">Panel!$K$6</definedName>
    <definedName function="false" hidden="false" name="Rendicion" vbProcedure="false">Parámetros!$C$11</definedName>
    <definedName function="false" hidden="false" name="TotalCARE" vbProcedure="false">Parámetros!$C$8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Montos de la cláusula 9.1 del Convenio N.° 130P-2025000001.</t>
        </r>
      </text>
    </comment>
  </commentList>
</comments>
</file>

<file path=xl/sharedStrings.xml><?xml version="1.0" encoding="utf-8"?>
<sst xmlns="http://schemas.openxmlformats.org/spreadsheetml/2006/main" count="368" uniqueCount="274">
  <si>
    <t xml:space="preserve">Cronograma de entregables y desembolsos</t>
  </si>
  <si>
    <t xml:space="preserve">Convenio de Donación N.° 130P-2025000001 · CARE (Asociación Central Asháninka del Río Ene) y Profonanpe · Proyecto ASL2 · Plazos vigentes de la Adenda N.° 01</t>
  </si>
  <si>
    <t xml:space="preserve">Fecha de referencia (vacío = hoy)</t>
  </si>
  <si>
    <t xml:space="preserve">Fecha usada</t>
  </si>
  <si>
    <t xml:space="preserve">Avisar con anticipación (días)</t>
  </si>
  <si>
    <t xml:space="preserve">Filtro de estado</t>
  </si>
  <si>
    <t xml:space="preserve">Producto a consultar</t>
  </si>
  <si>
    <t xml:space="preserve">Todos</t>
  </si>
  <si>
    <t xml:space="preserve">Producto 2 · Parte II</t>
  </si>
  <si>
    <t xml:space="preserve">Celdas amarillas = editables. Marca entregas y pagos con «Sí» en las hojas Entregables y Desembolsos (columnas L y M).</t>
  </si>
  <si>
    <t xml:space="preserve">PRÓXIMO VENCIMIENTO</t>
  </si>
  <si>
    <t xml:space="preserve">PRODUCTOS VENCIDOS SIN MARCAR</t>
  </si>
  <si>
    <t xml:space="preserve">PRODUCTOS ENTREGADOS</t>
  </si>
  <si>
    <t xml:space="preserve">DÍAS AL CIERRE DEL CONVENIO</t>
  </si>
  <si>
    <t xml:space="preserve">MONTO DEL CONVENIO A CARE</t>
  </si>
  <si>
    <t xml:space="preserve">DESEMBOLSADO</t>
  </si>
  <si>
    <t xml:space="preserve">POR TRAMITAR</t>
  </si>
  <si>
    <t xml:space="preserve">DUDAS POR ACLARAR</t>
  </si>
  <si>
    <t xml:space="preserve">Avance físico (productos entregados, % Adenda)</t>
  </si>
  <si>
    <t xml:space="preserve">Ejecución financiera (desembolsado / total)</t>
  </si>
  <si>
    <t xml:space="preserve">Tiempo transcurrido del convenio</t>
  </si>
  <si>
    <t xml:space="preserve">Línea de tiempo de los productos (cada barra va del día siguiente al producto anterior hasta su fecha límite)</t>
  </si>
  <si>
    <t xml:space="preserve">Producto</t>
  </si>
  <si>
    <t xml:space="preserve">Título</t>
  </si>
  <si>
    <t xml:space="preserve">Fecha límite</t>
  </si>
  <si>
    <t xml:space="preserve">Días restantes</t>
  </si>
  <si>
    <t xml:space="preserve">Estado</t>
  </si>
  <si>
    <t xml:space="preserve">Situación</t>
  </si>
  <si>
    <t xml:space="preserve">Desembolso</t>
  </si>
  <si>
    <t xml:space="preserve">Desembolsos (cláusula novena)</t>
  </si>
  <si>
    <t xml:space="preserve">Monto</t>
  </si>
  <si>
    <t xml:space="preserve">% convenio</t>
  </si>
  <si>
    <t xml:space="preserve">Fecha según 9.1</t>
  </si>
  <si>
    <t xml:space="preserve">Lo habilita</t>
  </si>
  <si>
    <t xml:space="preserve">Fecha límite producto</t>
  </si>
  <si>
    <t xml:space="preserve">Diferencia</t>
  </si>
  <si>
    <t xml:space="preserve">Fecha de pago</t>
  </si>
  <si>
    <t xml:space="preserve">Total</t>
  </si>
  <si>
    <t xml:space="preserve">Diferencia = días entre la fecha de 9.1 y la fecha límite vigente del producto.</t>
  </si>
  <si>
    <t xml:space="preserve">Indicadores gráficos</t>
  </si>
  <si>
    <t xml:space="preserve">Estado del dinero (S/)</t>
  </si>
  <si>
    <t xml:space="preserve">Monto por desembolso y estado</t>
  </si>
  <si>
    <t xml:space="preserve">Productos por estado</t>
  </si>
  <si>
    <t xml:space="preserve">Ventana de trabajo</t>
  </si>
  <si>
    <t xml:space="preserve">% de avance (Adenda)</t>
  </si>
  <si>
    <t xml:space="preserve">Desembolso vinculado</t>
  </si>
  <si>
    <t xml:space="preserve">Conformidad de FAO en</t>
  </si>
  <si>
    <t xml:space="preserve">Contenidos</t>
  </si>
  <si>
    <t xml:space="preserve">Fuente: Convenio de Donación N.° 130P-2025000001 (16/10/2025) y Adenda N.° 01 (27/04/2026). Fechas calculadas desde la fecha de inicio en Parámetros. Herramienta de apoyo administrativo; no reemplaza la revisión del área legal.</t>
  </si>
  <si>
    <t xml:space="preserve">Entregables</t>
  </si>
  <si>
    <t xml:space="preserve">Plazos de la cláusula sexta modificada por la Adenda N.° 01. Días contados desde la fecha de inicio (Parámetros).</t>
  </si>
  <si>
    <t xml:space="preserve">▼ Edita L y M</t>
  </si>
  <si>
    <t xml:space="preserve">Código</t>
  </si>
  <si>
    <t xml:space="preserve">Parte</t>
  </si>
  <si>
    <t xml:space="preserve">Etiqueta</t>
  </si>
  <si>
    <t xml:space="preserve">Plazo (días)</t>
  </si>
  <si>
    <t xml:space="preserve">Inicio de ventana</t>
  </si>
  <si>
    <t xml:space="preserve">Día de inicio</t>
  </si>
  <si>
    <t xml:space="preserve">% avance (Adenda)</t>
  </si>
  <si>
    <t xml:space="preserve">¿Entregado?</t>
  </si>
  <si>
    <t xml:space="preserve">Fecha de entrega real</t>
  </si>
  <si>
    <t xml:space="preserve">Conformidad FAO en</t>
  </si>
  <si>
    <t xml:space="preserve">Coincide filtro</t>
  </si>
  <si>
    <t xml:space="preserve">Orden filtro</t>
  </si>
  <si>
    <t xml:space="preserve">P1</t>
  </si>
  <si>
    <t xml:space="preserve">Producto 1</t>
  </si>
  <si>
    <t xml:space="preserve">Plan de trabajo y cronograma</t>
  </si>
  <si>
    <t xml:space="preserve">D1</t>
  </si>
  <si>
    <t xml:space="preserve">Sí</t>
  </si>
  <si>
    <t xml:space="preserve">el plan de trabajo y la metodología</t>
  </si>
  <si>
    <t xml:space="preserve">• Plan de trabajo detallado (actividades, subactividades, indicadores de avance) y cronograma a 18 meses.</t>
  </si>
  <si>
    <t xml:space="preserve">P2-I</t>
  </si>
  <si>
    <t xml:space="preserve">Producto 2</t>
  </si>
  <si>
    <t xml:space="preserve">Parte I</t>
  </si>
  <si>
    <t xml:space="preserve">Plan de capacitación y avances</t>
  </si>
  <si>
    <t xml:space="preserve">D2</t>
  </si>
  <si>
    <t xml:space="preserve">No</t>
  </si>
  <si>
    <t xml:space="preserve">el plan de capacitación</t>
  </si>
  <si>
    <t xml:space="preserve">• Plan de capacitación en recuperación: perfiles, competencias, capacidades e indicadores de logro.
• Informe de ejecución de los módulos 1 y 2 del plan de capacitación en recuperación y conectividad «Tsimeeri».
• Informe de avances en planes de vida en las 3 comunidades nativas.</t>
  </si>
  <si>
    <t xml:space="preserve">P2-II</t>
  </si>
  <si>
    <t xml:space="preserve">Parte II</t>
  </si>
  <si>
    <t xml:space="preserve">Plan de recuperación y fichas</t>
  </si>
  <si>
    <t xml:space="preserve">el plan de recuperación y conectividad</t>
  </si>
  <si>
    <t xml:space="preserve">• Plan de recuperación y conectividad consensuado con las comunidades nativas, con actas de aprobación.
• Fichas de caracterización de áreas de recuperación.
• Informe de ejecución de los módulos 3 y 4 del plan «Tsimeeri».</t>
  </si>
  <si>
    <t xml:space="preserve">P3</t>
  </si>
  <si>
    <t xml:space="preserve">Producto 3</t>
  </si>
  <si>
    <t xml:space="preserve">Pasantía, plantaciones y planes de vida</t>
  </si>
  <si>
    <t xml:space="preserve">D3</t>
  </si>
  <si>
    <t xml:space="preserve">el informe final de implementación de planes de vida</t>
  </si>
  <si>
    <t xml:space="preserve">• Informe de pasantía en recuperación: aprendizajes, lecciones y hallazgos replicables.
• Evaluación temprana de plantaciones según el modelo de recuperación seleccionado.
• Informe de avances en acciones de recuperación, por comunidad y paisaje.
• Informe final de implementación de planes de vida, con enfoque de género.</t>
  </si>
  <si>
    <t xml:space="preserve">P4</t>
  </si>
  <si>
    <t xml:space="preserve">Producto 4</t>
  </si>
  <si>
    <t xml:space="preserve">Informe final y resultados</t>
  </si>
  <si>
    <t xml:space="preserve">D4</t>
  </si>
  <si>
    <t xml:space="preserve">el informe final de 2,500 ha y los resultados de capacitación</t>
  </si>
  <si>
    <t xml:space="preserve">• Informe final de 2,500 hectáreas que iniciaron su proceso de recuperación.
• Fichas y matrices de monitoreo de la recuperación, con indicadores verificables.
• Reporte de acciones y evidencias de monitoreo.
• Evidencias de capacidades fortalecidas en 60 líderes indígenas locales.
• Informe y evidencias de resultados e impactos de los 3 planes de vida.
• Indicadores de resultados e impactos del enfoque de género.</t>
  </si>
  <si>
    <t xml:space="preserve">Total avance</t>
  </si>
  <si>
    <t xml:space="preserve">Nota: del Producto 1 solo hay constancia documental de su presentación el 30/11/2025 (Adenda, punto 1.4). Los demás aparecen vencidos si su fecha pasó y no se marcan como entregados. Columnas S y T son auxiliares del filtro del Panel.</t>
  </si>
  <si>
    <t xml:space="preserve">Desembolsos</t>
  </si>
  <si>
    <t xml:space="preserve">Cláusula novena. Profonanpe transfiere en 4 pagos, tras presentar el producto, reunir las conformidades y la rendición previa.</t>
  </si>
  <si>
    <t xml:space="preserve">N°</t>
  </si>
  <si>
    <t xml:space="preserve">Monto (S/)</t>
  </si>
  <si>
    <t xml:space="preserve">% del convenio</t>
  </si>
  <si>
    <t xml:space="preserve">% cláusula 9.1</t>
  </si>
  <si>
    <t xml:space="preserve">Días según 9.1</t>
  </si>
  <si>
    <t xml:space="preserve">Producto(s) que lo habilitan</t>
  </si>
  <si>
    <t xml:space="preserve">Código habilitante</t>
  </si>
  <si>
    <t xml:space="preserve">Fecha límite del producto</t>
  </si>
  <si>
    <t xml:space="preserve">Diferencia (días)</t>
  </si>
  <si>
    <t xml:space="preserve">¿Productos presentados?</t>
  </si>
  <si>
    <t xml:space="preserve">¿Desembolsado?</t>
  </si>
  <si>
    <t xml:space="preserve">Fecha de desembolso</t>
  </si>
  <si>
    <t xml:space="preserve">Desembolsado (S/)</t>
  </si>
  <si>
    <t xml:space="preserve">Por tramitar (S/)</t>
  </si>
  <si>
    <t xml:space="preserve">Pendiente (S/)</t>
  </si>
  <si>
    <t xml:space="preserve">Rendición previa requerida</t>
  </si>
  <si>
    <t xml:space="preserve">Requisitos</t>
  </si>
  <si>
    <t xml:space="preserve">• Presentar el Producto 1.
• Conformidad técnica del Componente 2, del Coordinador Técnico y de FAO.</t>
  </si>
  <si>
    <t xml:space="preserve">Producto 2 (Parte I y Parte II)</t>
  </si>
  <si>
    <t xml:space="preserve">• Presentar el Producto 2.
• Conformidades técnicas (Componente 2, Coordinación y FAO).
• Informe de recursos financiados.</t>
  </si>
  <si>
    <t xml:space="preserve">• Presentar el Producto 3.
• Conformidades técnicas (Componente 2, Coordinación y FAO).
• Informe de recursos financiados.</t>
  </si>
  <si>
    <t xml:space="preserve">• Presentar el Producto 4 (informe final).
• Conformidades técnicas (Componente 2, Coordinación y FAO).
• Informe de recursos financiados o de contrapartida.</t>
  </si>
  <si>
    <t xml:space="preserve">La fecha según 9.1 es la que dice la cláusula (no actualizada por la Adenda). En la práctica, el pago llega después de presentar el producto y reunir conformidades.</t>
  </si>
  <si>
    <t xml:space="preserve">Línea de tiempo semanal</t>
  </si>
  <si>
    <t xml:space="preserve">Cada celda es una semana (lunes). Los colores siguen el estado de cada producto; la columna marcada ▼ es la semana de la fecha de referencia.</t>
  </si>
  <si>
    <t xml:space="preserve">Inicio</t>
  </si>
  <si>
    <t xml:space="preserve">Fin</t>
  </si>
  <si>
    <t xml:space="preserve">Cierre del convenio</t>
  </si>
  <si>
    <t xml:space="preserve">Cierre</t>
  </si>
  <si>
    <t xml:space="preserve">Leyenda</t>
  </si>
  <si>
    <t xml:space="preserve">Por entregar</t>
  </si>
  <si>
    <t xml:space="preserve">Pronto a vencer</t>
  </si>
  <si>
    <t xml:space="preserve">Vencido</t>
  </si>
  <si>
    <t xml:space="preserve">Entregado</t>
  </si>
  <si>
    <t xml:space="preserve">Semana de referencia</t>
  </si>
  <si>
    <t xml:space="preserve">Comparativo: calendario de pagos y fechas de los entregables</t>
  </si>
  <si>
    <t xml:space="preserve">La cláusula 9.1 no se actualizó con la Adenda: sus fechas de pago quedan antes de los entregables que las habilitan.</t>
  </si>
  <si>
    <t xml:space="preserve">1. Cada pago frente al entregable que lo habilita</t>
  </si>
  <si>
    <t xml:space="preserve">Producto que lo habilita</t>
  </si>
  <si>
    <t xml:space="preserve">Fecha límite vigente</t>
  </si>
  <si>
    <t xml:space="preserve">Observación</t>
  </si>
  <si>
    <t xml:space="preserve">2. Reparto del pago: cláusula 9.1 frente a los porcentajes de la Adenda</t>
  </si>
  <si>
    <t xml:space="preserve">Etapa</t>
  </si>
  <si>
    <t xml:space="preserve">Cláusula 9.1</t>
  </si>
  <si>
    <t xml:space="preserve">Acumulado 9.1</t>
  </si>
  <si>
    <t xml:space="preserve">Adenda (tabla 1)</t>
  </si>
  <si>
    <t xml:space="preserve">Acumulado Adenda</t>
  </si>
  <si>
    <t xml:space="preserve">Diferencia (puntos)</t>
  </si>
  <si>
    <t xml:space="preserve">Diferencia en S/</t>
  </si>
  <si>
    <t xml:space="preserve">Producto 2 (Partes I y II)</t>
  </si>
  <si>
    <t xml:space="preserve">3. Cómo cambiaron los plazos de los productos (días desde el inicio y fecha resultante)</t>
  </si>
  <si>
    <t xml:space="preserve">Cláusula 6 original (días)</t>
  </si>
  <si>
    <t xml:space="preserve">Fecha</t>
  </si>
  <si>
    <t xml:space="preserve">Anexo I y cláusula 9.1 (días)</t>
  </si>
  <si>
    <t xml:space="preserve">Adenda N.° 01 (días)</t>
  </si>
  <si>
    <t xml:space="preserve">Fecha vigente</t>
  </si>
  <si>
    <t xml:space="preserve">Producto 2 · Parte I</t>
  </si>
  <si>
    <t xml:space="preserve">Fin del convenio</t>
  </si>
  <si>
    <t xml:space="preserve">En la cláusula 6 original y el Anexo I el Producto 2 era un solo entregable; la Adenda lo divide en dos partes.</t>
  </si>
  <si>
    <t xml:space="preserve">Paso a paso</t>
  </si>
  <si>
    <t xml:space="preserve">Cómo se arma el cronograma y cómo se llega a un desembolso.</t>
  </si>
  <si>
    <t xml:space="preserve">Cómo se arma este cronograma</t>
  </si>
  <si>
    <t xml:space="preserve">Paso</t>
  </si>
  <si>
    <t xml:space="preserve">Detalle</t>
  </si>
  <si>
    <t xml:space="preserve">Plazo</t>
  </si>
  <si>
    <t xml:space="preserve">Se toma la fecha base</t>
  </si>
  <si>
    <t xml:space="preserve">El convenio corre desde el 16/10/2025 (cláusula 4.1). Todos los plazos en días calendario se cuentan desde ese día.</t>
  </si>
  <si>
    <t xml:space="preserve">Se suman los días de cada producto</t>
  </si>
  <si>
    <t xml:space="preserve">La Adenda fija 65, 196, 257, 428 y 561 días. Ejemplo: 16/10/2025 más 65 días da el 20/12/2025.</t>
  </si>
  <si>
    <t xml:space="preserve">Se calcula la ventana de trabajo</t>
  </si>
  <si>
    <t xml:space="preserve">Cada producto empieza el día siguiente al anterior y termina en su fecha límite.</t>
  </si>
  <si>
    <t xml:space="preserve">Se asigna el estado según la fecha de referencia</t>
  </si>
  <si>
    <t xml:space="preserve">Vencido si la fecha límite ya pasó, pronto a vencer si faltan menos días que el aviso elegido, y por entregar en los demás casos. Si se marca como entregado, queda en verde.</t>
  </si>
  <si>
    <t xml:space="preserve">Se cruza con los desembolsos</t>
  </si>
  <si>
    <t xml:space="preserve">Cada pago de la cláusula 9.1 se enlaza con el producto que lo habilita para ver cuánto se separan sus fechas.</t>
  </si>
  <si>
    <t xml:space="preserve">Cómo se llega a un desembolso</t>
  </si>
  <si>
    <t xml:space="preserve">CARE entrega el producto a la UGP del proyecto ASL2</t>
  </si>
  <si>
    <t xml:space="preserve">Todo informe se presenta primero a la UGP (cláusula 11.1).</t>
  </si>
  <si>
    <t xml:space="preserve">La UGP revisa y puede observar</t>
  </si>
  <si>
    <t xml:space="preserve">Hasta 10 días hábiles</t>
  </si>
  <si>
    <t xml:space="preserve">CARE subsana las observaciones</t>
  </si>
  <si>
    <t xml:space="preserve">7 días calendario (+5 con pedido escrito)</t>
  </si>
  <si>
    <t xml:space="preserve">FAO da su conformidad técnica a los productos clave</t>
  </si>
  <si>
    <t xml:space="preserve">Productos que la cláusula 8.2 y la tabla de la Adenda marcan con asterisco.</t>
  </si>
  <si>
    <t xml:space="preserve">Hasta 7 días hábiles</t>
  </si>
  <si>
    <t xml:space="preserve">Se reúnen las conformidades internas</t>
  </si>
  <si>
    <t xml:space="preserve">Opinión técnica del responsable del Componente 2 y conformidad del Coordinador Técnico del Proyecto.</t>
  </si>
  <si>
    <t xml:space="preserve">CARE rinde el pago anterior</t>
  </si>
  <si>
    <t xml:space="preserve">Al menos el 70 % del desembolso previo, con el Formato R-1 y los comprobantes del Anexo II, más el informe de recursos financiados.</t>
  </si>
  <si>
    <t xml:space="preserve">La UGP pide el desembolso por escrito a Profonanpe</t>
  </si>
  <si>
    <t xml:space="preserve">Cláusula 9.3.</t>
  </si>
  <si>
    <t xml:space="preserve">Profonanpe transfiere a la cuenta exclusiva de CARE</t>
  </si>
  <si>
    <t xml:space="preserve">La cuenta del Formato S-03. El convenio no fija en cuántos días debe transferir una vez pedido el pago.</t>
  </si>
  <si>
    <t xml:space="preserve">Sin plazo fijado</t>
  </si>
  <si>
    <t xml:space="preserve">Dudas por aclarar con Profonanpe</t>
  </si>
  <si>
    <t xml:space="preserve">Puntos donde los documentos se contradicen. Resolverlos por escrito, con acta (cláusula 8.5) o adenda (cláusula 16.1).</t>
  </si>
  <si>
    <t xml:space="preserve">Tema</t>
  </si>
  <si>
    <t xml:space="preserve">Pregunta a Profonanpe</t>
  </si>
  <si>
    <t xml:space="preserve">Responsable</t>
  </si>
  <si>
    <t xml:space="preserve">Fecha de respuesta</t>
  </si>
  <si>
    <t xml:space="preserve">Respuesta / acuerdo</t>
  </si>
  <si>
    <t xml:space="preserve">La cláusula 9.1 no se actualizó con la Adenda</t>
  </si>
  <si>
    <t xml:space="preserve">Sigue diciendo que se paga a los 15, 120 y 240 días, y la Adenda movió los productos a los días 65, 196, 257 y 428. Esas fechas de pago ya no coinciden con ningún entregable vigente.</t>
  </si>
  <si>
    <t xml:space="preserve">¿Qué fecha o condición rige para cada desembolso?</t>
  </si>
  <si>
    <t xml:space="preserve">Pendiente</t>
  </si>
  <si>
    <t xml:space="preserve">Los porcentajes de la Adenda no coinciden con los pagos de 9.1</t>
  </si>
  <si>
    <t xml:space="preserve">La Adenda reparte el avance en 30, 20, 15, 20 y 15 %. La cláusula 9.1 paga 30, 30, 25 y 15 %. En el Producto 2 hay 5 puntos de diferencia (≈ S/ 23,562.50).</t>
  </si>
  <si>
    <t xml:space="preserve">¿Se mantienen los 4 pagos de la cláusula 9.1 o se pagará según la tabla de la Adenda?</t>
  </si>
  <si>
    <t xml:space="preserve">El Producto 2 ahora tiene dos fechas</t>
  </si>
  <si>
    <t xml:space="preserve">La Adenda lo divide en Parte I (30/04/2026) y Parte II (30/06/2026), pero no dice si el Desembolso 2 se libera con la primera parte o solo con las dos.</t>
  </si>
  <si>
    <t xml:space="preserve">¿El Desembolso 2 se tramita con la Parte I o con el Producto 2 completo?</t>
  </si>
  <si>
    <t xml:space="preserve">Fecha de firma del convenio</t>
  </si>
  <si>
    <t xml:space="preserve">El convenio fue firmado el 16/10/2025. La Adenda menciona 14/11/2025 y un plazo del 22/10/2025 al 15/04/2027. Las fechas de la Adenda solo cuadran contando desde el 16/10/2025.</t>
  </si>
  <si>
    <t xml:space="preserve">Confirmar por escrito que la fecha de inicio es el 16/10/2025.</t>
  </si>
  <si>
    <t xml:space="preserve">Monto de S/ 471,250 y de S/ 511,250</t>
  </si>
  <si>
    <t xml:space="preserve">CARE recibe en efectivo S/ 471,250.00 (cl. 9.1). El tope de Profonanpe es S/ 511,250.00 (cl. 5.2.1). La diferencia de S/ 40,000.00 sería la compra directa de la UGP (conciliación de este tablero).</t>
  </si>
  <si>
    <t xml:space="preserve">¿Profonanpe confirma que son S/ 471,250 más S/ 40,000 de compra directa?</t>
  </si>
  <si>
    <t xml:space="preserve">Estado real de las entregas</t>
  </si>
  <si>
    <t xml:space="preserve">Los documentos solo prueban que el Producto 1 se presentó el 30/11/2025. Los demás aparecen vencidos si su fecha pasó y no se marcan como entregados.</t>
  </si>
  <si>
    <t xml:space="preserve">Marcar en la hoja Entregables lo que ya se presentó.</t>
  </si>
  <si>
    <t xml:space="preserve">Parámetros y listas</t>
  </si>
  <si>
    <t xml:space="preserve">Datos base del convenio. Las celdas amarillas se pueden ajustar; todo el libro se recalcula.</t>
  </si>
  <si>
    <t xml:space="preserve">Parámetro</t>
  </si>
  <si>
    <t xml:space="preserve">Valor</t>
  </si>
  <si>
    <t xml:space="preserve">Fuente / nota</t>
  </si>
  <si>
    <t xml:space="preserve">Estados (filtro)</t>
  </si>
  <si>
    <t xml:space="preserve">Sí / No</t>
  </si>
  <si>
    <t xml:space="preserve">Aviso (días)</t>
  </si>
  <si>
    <t xml:space="preserve">Estado de dudas</t>
  </si>
  <si>
    <t xml:space="preserve">Fecha de inicio del convenio</t>
  </si>
  <si>
    <t xml:space="preserve">Cláusula 4.1. Las fechas de la tabla de la Adenda solo cuadran contando desde aquí.</t>
  </si>
  <si>
    <t xml:space="preserve">Días hasta el cierre (Adenda N.° 01)</t>
  </si>
  <si>
    <t xml:space="preserve">Adenda N.° 01: cierre el 28/05/2027.</t>
  </si>
  <si>
    <t xml:space="preserve">En consulta</t>
  </si>
  <si>
    <t xml:space="preserve">Fecha de cierre</t>
  </si>
  <si>
    <t xml:space="preserve">Calculado: inicio + días de cierre.</t>
  </si>
  <si>
    <t xml:space="preserve">Resuelta</t>
  </si>
  <si>
    <t xml:space="preserve">Monto en efectivo a CARE (S/)</t>
  </si>
  <si>
    <t xml:space="preserve">Suma de los 4 desembolsos (cláusula 9.1).</t>
  </si>
  <si>
    <t xml:space="preserve">Compra directa de la UGP (S/)</t>
  </si>
  <si>
    <t xml:space="preserve">Insumos y equipos que compra la UGP; no se descuentan del convenio.</t>
  </si>
  <si>
    <t xml:space="preserve">Tope total de Profonanpe (S/)</t>
  </si>
  <si>
    <t xml:space="preserve">Cláusula 5.2.1 y Anexo I: S/ 511,250.00. Conciliación de este tablero.</t>
  </si>
  <si>
    <t xml:space="preserve">Rendición mínima del desembolso previo</t>
  </si>
  <si>
    <t xml:space="preserve">Cláusula 9: al menos 70 % del pago anterior.</t>
  </si>
  <si>
    <t xml:space="preserve">Días del fin original del convenio</t>
  </si>
  <si>
    <t xml:space="preserve">Convenio original: 09/04/2027.</t>
  </si>
  <si>
    <t xml:space="preserve">Cómo usar este libro</t>
  </si>
  <si>
    <t xml:space="preserve">1. En la hoja Panel elige la fecha de referencia (vacía = hoy), los días de aviso, el filtro de estado y el producto a consultar.</t>
  </si>
  <si>
    <t xml:space="preserve">2. En Entregables marca «Sí» en la columna L cuando un producto se presente y anota la fecha real en la columna M.</t>
  </si>
  <si>
    <t xml:space="preserve">3. En Desembolsos marca «Sí» en la columna L cuando Profonanpe transfiera y anota la fecha en la columna M.</t>
  </si>
  <si>
    <t xml:space="preserve">4. En Dudas registra el estado y la respuesta de cada consulta a Profonanpe.</t>
  </si>
  <si>
    <t xml:space="preserve">Celdas amarillas con texto azul = datos que puedes editar. Todo lo demás son fórmulas: no las sobrescribas.</t>
  </si>
  <si>
    <t xml:space="preserve">Datos para gráficos y cálculos del Panel</t>
  </si>
  <si>
    <t xml:space="preserve">Hoja auxiliar: todo son fórmulas. No editar.</t>
  </si>
  <si>
    <t xml:space="preserve">Estado del dinero</t>
  </si>
  <si>
    <t xml:space="preserve">Desembolsado</t>
  </si>
  <si>
    <t xml:space="preserve">Por tramitar</t>
  </si>
  <si>
    <t xml:space="preserve">Pendiente de producto</t>
  </si>
  <si>
    <t xml:space="preserve">Estado del producto</t>
  </si>
  <si>
    <t xml:space="preserve">Cantidad</t>
  </si>
  <si>
    <t xml:space="preserve">Indicador</t>
  </si>
  <si>
    <t xml:space="preserve">Próximo vencimiento (fecha)</t>
  </si>
  <si>
    <t xml:space="preserve">Próximo vencimiento (producto)</t>
  </si>
  <si>
    <t xml:space="preserve">Días al próximo vencimiento</t>
  </si>
  <si>
    <t xml:space="preserve">Productos vencidos</t>
  </si>
  <si>
    <t xml:space="preserve">Productos entregados</t>
  </si>
  <si>
    <t xml:space="preserve">Avance físico (Adenda)</t>
  </si>
  <si>
    <t xml:space="preserve">Ejecución financiera</t>
  </si>
  <si>
    <t xml:space="preserve">Tiempo transcurrido</t>
  </si>
  <si>
    <t xml:space="preserve">Días al cierre</t>
  </si>
  <si>
    <t xml:space="preserve">Dudas pendientes</t>
  </si>
  <si>
    <t xml:space="preserve">Productos en filtro</t>
  </si>
  <si>
    <t xml:space="preserve">Fila del producto consultado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</si>
</sst>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dd/mm/yyyy"/>
    <numFmt numFmtId="166" formatCode="dd\ mmm\ yyyy"/>
    <numFmt numFmtId="167" formatCode="0"/>
    <numFmt numFmtId="168" formatCode="@"/>
    <numFmt numFmtId="169" formatCode="#,##0;&quot;Cerrado hace &quot;#,##0"/>
    <numFmt numFmtId="170" formatCode="&quot;S/ &quot;#,##0.00;&quot;-S/ &quot;#,##0.00;\-"/>
    <numFmt numFmtId="171" formatCode="0%"/>
    <numFmt numFmtId="172" formatCode=";;;"/>
    <numFmt numFmtId="173" formatCode="0;\-0;0"/>
    <numFmt numFmtId="174" formatCode="\+0&quot; días&quot;;\-0&quot; días&quot;;&quot;0 días&quot;"/>
    <numFmt numFmtId="175" formatCode="mmm\ yy"/>
    <numFmt numFmtId="176" formatCode="&quot;S/ &quot;#,##0"/>
    <numFmt numFmtId="177" formatCode="General"/>
    <numFmt numFmtId="178" formatCode="dd"/>
    <numFmt numFmtId="179" formatCode="\+0&quot; pts&quot;;\-0&quot; pts&quot;;&quot;0 pts&quot;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0312B"/>
      <name val="Arial"/>
      <family val="0"/>
      <charset val="1"/>
    </font>
    <font>
      <i val="true"/>
      <sz val="10"/>
      <color rgb="FF4A625C"/>
      <name val="Arial"/>
      <family val="0"/>
      <charset val="1"/>
    </font>
    <font>
      <b val="true"/>
      <sz val="9"/>
      <color rgb="FF4A625C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10312B"/>
      <name val="Arial"/>
      <family val="0"/>
      <charset val="1"/>
    </font>
    <font>
      <i val="true"/>
      <sz val="9"/>
      <color rgb="FF4A625C"/>
      <name val="Arial"/>
      <family val="0"/>
      <charset val="1"/>
    </font>
    <font>
      <b val="true"/>
      <sz val="18"/>
      <color rgb="FF10312B"/>
      <name val="Arial"/>
      <family val="0"/>
      <charset val="1"/>
    </font>
    <font>
      <sz val="9"/>
      <color rgb="FF4A625C"/>
      <name val="Arial"/>
      <family val="0"/>
      <charset val="1"/>
    </font>
    <font>
      <b val="true"/>
      <sz val="11"/>
      <color rgb="FF10312B"/>
      <name val="Arial"/>
      <family val="0"/>
      <charset val="1"/>
    </font>
    <font>
      <b val="true"/>
      <sz val="13"/>
      <color rgb="FF10312B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10312B"/>
      <name val="Arial"/>
      <family val="0"/>
      <charset val="1"/>
    </font>
    <font>
      <i val="true"/>
      <sz val="9"/>
      <color rgb="FFB3261E"/>
      <name val="Arial"/>
      <family val="0"/>
      <charset val="1"/>
    </font>
    <font>
      <b val="true"/>
      <sz val="10"/>
      <color rgb="FF4A625C"/>
      <name val="Arial"/>
      <family val="0"/>
      <charset val="1"/>
    </font>
    <font>
      <i val="true"/>
      <sz val="8"/>
      <color rgb="FF4A625C"/>
      <name val="Arial"/>
      <family val="0"/>
      <charset val="1"/>
    </font>
    <font>
      <sz val="10"/>
      <color rgb="FF000000"/>
      <name val="Calibri"/>
      <family val="2"/>
    </font>
    <font>
      <b val="true"/>
      <sz val="9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color rgb="FF9AA8A2"/>
      <name val="Arial"/>
      <family val="0"/>
      <charset val="1"/>
    </font>
    <font>
      <sz val="10"/>
      <name val="Arial"/>
      <family val="2"/>
    </font>
    <font>
      <b val="true"/>
      <sz val="8"/>
      <color rgb="FF10312B"/>
      <name val="Arial"/>
      <family val="0"/>
      <charset val="1"/>
    </font>
    <font>
      <sz val="7"/>
      <color rgb="FF4A625C"/>
      <name val="Arial"/>
      <family val="0"/>
      <charset val="1"/>
    </font>
    <font>
      <b val="true"/>
      <sz val="9"/>
      <color rgb="FF10312B"/>
      <name val="Arial"/>
      <family val="0"/>
      <charset val="1"/>
    </font>
    <font>
      <sz val="9"/>
      <color rgb="FF10312B"/>
      <name val="Arial"/>
      <family val="0"/>
      <charset val="1"/>
    </font>
    <font>
      <b val="true"/>
      <sz val="12"/>
      <color rgb="FF10312B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EDF2EE"/>
        <bgColor rgb="FFDFF1E2"/>
      </patternFill>
    </fill>
    <fill>
      <patternFill patternType="solid">
        <fgColor rgb="FFFFF4C2"/>
        <bgColor rgb="FFFBEFD4"/>
      </patternFill>
    </fill>
    <fill>
      <patternFill patternType="solid">
        <fgColor rgb="FFFFFFFF"/>
        <bgColor rgb="FFEDF2EE"/>
      </patternFill>
    </fill>
    <fill>
      <patternFill patternType="solid">
        <fgColor rgb="FF1E5B4B"/>
        <bgColor rgb="FF0E6F78"/>
      </patternFill>
    </fill>
    <fill>
      <patternFill patternType="solid">
        <fgColor rgb="FFE2EAE4"/>
        <bgColor rgb="FFDFF1E2"/>
      </patternFill>
    </fill>
    <fill>
      <patternFill patternType="solid">
        <fgColor rgb="FF0E6F78"/>
        <bgColor rgb="FF008080"/>
      </patternFill>
    </fill>
    <fill>
      <patternFill patternType="solid">
        <fgColor rgb="FF8A5A00"/>
        <bgColor rgb="FF993366"/>
      </patternFill>
    </fill>
    <fill>
      <patternFill patternType="solid">
        <fgColor rgb="FFB3261E"/>
        <bgColor rgb="FF993366"/>
      </patternFill>
    </fill>
    <fill>
      <patternFill patternType="solid">
        <fgColor rgb="FF2F7D3E"/>
        <bgColor rgb="FF4A625C"/>
      </patternFill>
    </fill>
    <fill>
      <patternFill patternType="solid">
        <fgColor rgb="FFB9C6BF"/>
        <bgColor rgb="FFC6D4CB"/>
      </patternFill>
    </fill>
    <fill>
      <patternFill patternType="solid">
        <fgColor rgb="FFFFE08A"/>
        <bgColor rgb="FFFFF4C2"/>
      </patternFill>
    </fill>
    <fill>
      <patternFill patternType="solid">
        <fgColor rgb="FF10312B"/>
        <bgColor rgb="FF003366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C6D4CB"/>
      </left>
      <right style="thin">
        <color rgb="FFC6D4CB"/>
      </right>
      <top style="thin">
        <color rgb="FFC6D4CB"/>
      </top>
      <bottom style="thin">
        <color rgb="FFC6D4CB"/>
      </bottom>
      <diagonal/>
    </border>
    <border diagonalUp="false" diagonalDown="false">
      <left style="thin">
        <color rgb="FFC6D4CB"/>
      </left>
      <right style="thin">
        <color rgb="FFC6D4CB"/>
      </right>
      <top style="medium">
        <color rgb="FF0E6F78"/>
      </top>
      <bottom/>
      <diagonal/>
    </border>
    <border diagonalUp="false" diagonalDown="false">
      <left style="thin">
        <color rgb="FFC6D4CB"/>
      </left>
      <right style="thin">
        <color rgb="FFC6D4CB"/>
      </right>
      <top style="medium">
        <color rgb="FFB3261E"/>
      </top>
      <bottom/>
      <diagonal/>
    </border>
    <border diagonalUp="false" diagonalDown="false">
      <left style="thin">
        <color rgb="FFC6D4CB"/>
      </left>
      <right style="thin">
        <color rgb="FFC6D4CB"/>
      </right>
      <top style="medium">
        <color rgb="FF2F7D3E"/>
      </top>
      <bottom/>
      <diagonal/>
    </border>
    <border diagonalUp="false" diagonalDown="false">
      <left style="thin">
        <color rgb="FFC6D4CB"/>
      </left>
      <right style="thin">
        <color rgb="FFC6D4CB"/>
      </right>
      <top style="medium">
        <color rgb="FF8A5A00"/>
      </top>
      <bottom/>
      <diagonal/>
    </border>
    <border diagonalUp="false" diagonalDown="false">
      <left style="thin">
        <color rgb="FFC6D4CB"/>
      </left>
      <right style="thin">
        <color rgb="FFC6D4CB"/>
      </right>
      <top/>
      <bottom/>
      <diagonal/>
    </border>
    <border diagonalUp="false" diagonalDown="false">
      <left style="thin">
        <color rgb="FFC6D4CB"/>
      </left>
      <right style="thin">
        <color rgb="FFC6D4CB"/>
      </right>
      <top/>
      <bottom style="thin">
        <color rgb="FFC6D4CB"/>
      </bottom>
      <diagonal/>
    </border>
    <border diagonalUp="false" diagonalDown="false">
      <left style="thin">
        <color rgb="FFC6D4CB"/>
      </left>
      <right style="thin">
        <color rgb="FFC6D4CB"/>
      </right>
      <top style="medium">
        <color rgb="FF1E5B4B"/>
      </top>
      <bottom/>
      <diagonal/>
    </border>
    <border diagonalUp="false" diagonalDown="false">
      <left/>
      <right/>
      <top style="thin">
        <color rgb="FFC6D4CB"/>
      </top>
      <bottom style="thin">
        <color rgb="FFC6D4CB"/>
      </bottom>
      <diagonal/>
    </border>
    <border diagonalUp="false" diagonalDown="false">
      <left/>
      <right/>
      <top/>
      <bottom style="medium">
        <color rgb="FF10312B"/>
      </bottom>
      <diagonal/>
    </border>
    <border diagonalUp="false" diagonalDown="false">
      <left/>
      <right/>
      <top/>
      <bottom style="thin">
        <color rgb="FFC6D4CB"/>
      </bottom>
      <diagonal/>
    </border>
    <border diagonalUp="false" diagonalDown="false">
      <left style="hair">
        <color rgb="FFC6D4CB"/>
      </left>
      <right/>
      <top/>
      <bottom style="hair">
        <color rgb="FFC6D4C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6" fillId="4" borderId="3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6" fillId="4" borderId="4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6" fillId="4" borderId="5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6" fontId="10" fillId="4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0" fillId="4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10" fillId="4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10" fillId="4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4" borderId="7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6" fillId="4" borderId="8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70" fontId="10" fillId="4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0" fillId="4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11" xfId="0" applyFont="true" applyBorder="true" applyAlignment="true" applyProtection="false">
      <alignment horizontal="general" vertical="top" textRotation="0" wrapText="false" indent="1" shrinkToFit="false"/>
      <protection locked="true" hidden="false"/>
    </xf>
    <xf numFmtId="164" fontId="15" fillId="4" borderId="1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6" fontId="15" fillId="4" borderId="1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15" fillId="4" borderId="1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8" fillId="2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7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7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8" fontId="25" fillId="0" borderId="0" xfId="0" applyFont="true" applyBorder="false" applyAlignment="true" applyProtection="false">
      <alignment horizontal="center" vertical="bottom" textRotation="90" wrapText="false" indent="0" shrinkToFit="false"/>
      <protection locked="true" hidden="false"/>
    </xf>
    <xf numFmtId="164" fontId="14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5">
    <dxf>
      <font>
        <name val="Arial"/>
        <charset val="1"/>
        <family val="0"/>
        <b val="1"/>
        <color rgb="FF8A5A00"/>
      </font>
      <fill>
        <patternFill>
          <bgColor rgb="FFFBEFD4"/>
        </patternFill>
      </fill>
    </dxf>
    <dxf>
      <font>
        <name val="Arial"/>
        <charset val="1"/>
        <family val="0"/>
        <b val="1"/>
        <color rgb="FF2F7D3E"/>
      </font>
      <fill>
        <patternFill>
          <bgColor rgb="FFDFF1E2"/>
        </patternFill>
      </fill>
    </dxf>
    <dxf>
      <font>
        <name val="Arial"/>
        <charset val="1"/>
        <family val="0"/>
        <b val="1"/>
        <color rgb="FFB3261E"/>
      </font>
      <fill>
        <patternFill>
          <bgColor rgb="FFFBE6E4"/>
        </patternFill>
      </fill>
    </dxf>
    <dxf>
      <font>
        <name val="Arial"/>
        <charset val="1"/>
        <family val="0"/>
        <b val="1"/>
        <color rgb="FF0E6F78"/>
      </font>
      <fill>
        <patternFill>
          <bgColor rgb="FFDCF0F2"/>
        </patternFill>
      </fill>
    </dxf>
    <dxf>
      <font>
        <name val="Arial"/>
        <charset val="1"/>
        <family val="0"/>
        <b val="1"/>
        <color rgb="FF4A625C"/>
      </font>
      <fill>
        <patternFill>
          <bgColor rgb="FFE2EAE4"/>
        </patternFill>
      </fill>
    </dxf>
    <dxf>
      <font>
        <name val="Arial"/>
        <charset val="1"/>
        <family val="0"/>
        <b val="1"/>
        <color rgb="FFB3261E"/>
      </font>
    </dxf>
    <dxf>
      <fill>
        <patternFill patternType="solid">
          <fgColor rgb="FF1E5B4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031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C2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DCF0F2"/>
          <bgColor rgb="FF000000"/>
        </patternFill>
      </fill>
    </dxf>
    <dxf>
      <fill>
        <patternFill patternType="solid">
          <fgColor rgb="FFDFF1E2"/>
          <bgColor rgb="FF000000"/>
        </patternFill>
      </fill>
    </dxf>
    <dxf>
      <fill>
        <patternFill patternType="solid">
          <fgColor rgb="FFFBE6E4"/>
          <bgColor rgb="FF000000"/>
        </patternFill>
      </fill>
    </dxf>
    <dxf>
      <fill>
        <patternFill patternType="solid">
          <fgColor rgb="FF0E6F78"/>
          <bgColor rgb="FF000000"/>
        </patternFill>
      </fill>
    </dxf>
    <dxf>
      <fill>
        <patternFill patternType="solid">
          <fgColor rgb="FF2F7D3E"/>
          <bgColor rgb="FF000000"/>
        </patternFill>
      </fill>
    </dxf>
    <dxf>
      <fill>
        <patternFill patternType="solid">
          <fgColor rgb="FF9AA8A2"/>
          <bgColor rgb="FF000000"/>
        </patternFill>
      </fill>
    </dxf>
    <dxf>
      <fill>
        <patternFill>
          <bgColor rgb="FFB3261E"/>
        </patternFill>
      </fill>
    </dxf>
    <dxf>
      <fill>
        <patternFill>
          <bgColor rgb="FF8A5A00"/>
        </patternFill>
      </fill>
    </dxf>
    <dxf>
      <fill>
        <patternFill>
          <bgColor rgb="FF0E6F78"/>
        </patternFill>
      </fill>
    </dxf>
    <dxf>
      <fill>
        <patternFill>
          <bgColor rgb="FF2F7D3E"/>
        </patternFill>
      </fill>
    </dxf>
    <dxf>
      <fill>
        <patternFill>
          <bgColor rgb="FFB9C6BF"/>
        </patternFill>
      </fill>
    </dxf>
    <dxf>
      <fill>
        <patternFill>
          <bgColor rgb="FFFFE08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0"/>
      <rgbColor rgb="FF800080"/>
      <rgbColor rgb="FF0E6F78"/>
      <rgbColor rgb="FFB9C6BF"/>
      <rgbColor rgb="FF878787"/>
      <rgbColor rgb="FF9999FF"/>
      <rgbColor rgb="FF993366"/>
      <rgbColor rgb="FFFFF4C2"/>
      <rgbColor rgb="FFDCF0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2EE"/>
      <rgbColor rgb="FFDFF1E2"/>
      <rgbColor rgb="FFFBEFD4"/>
      <rgbColor rgb="FFC6D4CB"/>
      <rgbColor rgb="FFFBE6E4"/>
      <rgbColor rgb="FFE2EAE4"/>
      <rgbColor rgb="FFFFE08A"/>
      <rgbColor rgb="FF4F81BD"/>
      <rgbColor rgb="FF33CCCC"/>
      <rgbColor rgb="FF99CC00"/>
      <rgbColor rgb="FFFFCC00"/>
      <rgbColor rgb="FFFF9900"/>
      <rgbColor rgb="FFFF6600"/>
      <rgbColor rgb="FF4A625C"/>
      <rgbColor rgb="FF9AA8A2"/>
      <rgbColor rgb="FF003366"/>
      <rgbColor rgb="FF2F7D3E"/>
      <rgbColor rgb="FF10312B"/>
      <rgbColor rgb="FF333300"/>
      <rgbColor rgb="FFB3261E"/>
      <rgbColor rgb="FF993366"/>
      <rgbColor rgb="FF333399"/>
      <rgbColor rgb="FF1E5B4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'Datos gráficos'!C4</c:f>
              <c:strCache>
                <c:ptCount val="1"/>
                <c:pt idx="0">
                  <c:v>Inicio</c:v>
                </c:pt>
              </c:strCache>
            </c:strRef>
          </c:tx>
          <c:spPr>
            <a:noFill/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gráficos'!$B$5:$B$10</c:f>
              <c:strCache>
                <c:ptCount val="6"/>
                <c:pt idx="0">
                  <c:v>Producto 1</c:v>
                </c:pt>
                <c:pt idx="1">
                  <c:v>Producto 2 · Parte I</c:v>
                </c:pt>
                <c:pt idx="2">
                  <c:v>Producto 2 · Parte II</c:v>
                </c:pt>
                <c:pt idx="3">
                  <c:v>Producto 3</c:v>
                </c:pt>
                <c:pt idx="4">
                  <c:v>Producto 4</c:v>
                </c:pt>
                <c:pt idx="5">
                  <c:v>Cierre del convenio</c:v>
                </c:pt>
              </c:strCache>
            </c:strRef>
          </c:cat>
          <c:val>
            <c:numRef>
              <c:f>'Datos gráficos'!$C$5:$C$10</c:f>
              <c:numCache>
                <c:formatCode>dd/mm/yyyy</c:formatCode>
                <c:ptCount val="6"/>
                <c:pt idx="0">
                  <c:v>45946</c:v>
                </c:pt>
                <c:pt idx="1">
                  <c:v>46012</c:v>
                </c:pt>
                <c:pt idx="2">
                  <c:v>46143</c:v>
                </c:pt>
                <c:pt idx="3">
                  <c:v>46204</c:v>
                </c:pt>
                <c:pt idx="4">
                  <c:v>46375</c:v>
                </c:pt>
                <c:pt idx="5">
                  <c:v>46508</c:v>
                </c:pt>
              </c:numCache>
            </c:numRef>
          </c:val>
        </c:ser>
        <c:ser>
          <c:idx val="1"/>
          <c:order val="1"/>
          <c:tx>
            <c:strRef>
              <c:f>'Datos gráficos'!D4</c:f>
              <c:strCache>
                <c:ptCount val="1"/>
                <c:pt idx="0">
                  <c:v>Por entregar</c:v>
                </c:pt>
              </c:strCache>
            </c:strRef>
          </c:tx>
          <c:spPr>
            <a:solidFill>
              <a:srgbClr val="0e6f78"/>
            </a:solidFill>
            <a:ln w="0">
              <a:solidFill>
                <a:srgbClr val="0e6f78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gráficos'!$B$5:$B$10</c:f>
              <c:strCache>
                <c:ptCount val="6"/>
                <c:pt idx="0">
                  <c:v>Producto 1</c:v>
                </c:pt>
                <c:pt idx="1">
                  <c:v>Producto 2 · Parte I</c:v>
                </c:pt>
                <c:pt idx="2">
                  <c:v>Producto 2 · Parte II</c:v>
                </c:pt>
                <c:pt idx="3">
                  <c:v>Producto 3</c:v>
                </c:pt>
                <c:pt idx="4">
                  <c:v>Producto 4</c:v>
                </c:pt>
                <c:pt idx="5">
                  <c:v>Cierre del convenio</c:v>
                </c:pt>
              </c:strCache>
            </c:strRef>
          </c:cat>
          <c:val>
            <c:numRef>
              <c:f>'Datos gráficos'!$D$5:$D$10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171</c:v>
                </c:pt>
                <c:pt idx="4">
                  <c:v>133</c:v>
                </c:pt>
                <c:pt idx="5">
                  <c:v>0</c:v>
                </c:pt>
              </c:numCache>
            </c:numRef>
          </c:val>
        </c:ser>
        <c:ser>
          <c:idx val="2"/>
          <c:order val="2"/>
          <c:tx>
            <c:strRef>
              <c:f>'Datos gráficos'!E4</c:f>
              <c:strCache>
                <c:ptCount val="1"/>
                <c:pt idx="0">
                  <c:v>Pronto a vencer</c:v>
                </c:pt>
              </c:strCache>
            </c:strRef>
          </c:tx>
          <c:spPr>
            <a:solidFill>
              <a:srgbClr val="8a5a00"/>
            </a:solidFill>
            <a:ln w="0">
              <a:solidFill>
                <a:srgbClr val="8a5a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gráficos'!$B$5:$B$10</c:f>
              <c:strCache>
                <c:ptCount val="6"/>
                <c:pt idx="0">
                  <c:v>Producto 1</c:v>
                </c:pt>
                <c:pt idx="1">
                  <c:v>Producto 2 · Parte I</c:v>
                </c:pt>
                <c:pt idx="2">
                  <c:v>Producto 2 · Parte II</c:v>
                </c:pt>
                <c:pt idx="3">
                  <c:v>Producto 3</c:v>
                </c:pt>
                <c:pt idx="4">
                  <c:v>Producto 4</c:v>
                </c:pt>
                <c:pt idx="5">
                  <c:v>Cierre del convenio</c:v>
                </c:pt>
              </c:strCache>
            </c:strRef>
          </c:cat>
          <c:val>
            <c:numRef>
              <c:f>'Datos gráficos'!$E$5:$E$10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3"/>
          <c:order val="3"/>
          <c:tx>
            <c:strRef>
              <c:f>'Datos gráficos'!F4</c:f>
              <c:strCache>
                <c:ptCount val="1"/>
                <c:pt idx="0">
                  <c:v>Vencido</c:v>
                </c:pt>
              </c:strCache>
            </c:strRef>
          </c:tx>
          <c:spPr>
            <a:solidFill>
              <a:srgbClr val="b3261e"/>
            </a:solidFill>
            <a:ln w="0">
              <a:solidFill>
                <a:srgbClr val="b3261e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gráficos'!$B$5:$B$10</c:f>
              <c:strCache>
                <c:ptCount val="6"/>
                <c:pt idx="0">
                  <c:v>Producto 1</c:v>
                </c:pt>
                <c:pt idx="1">
                  <c:v>Producto 2 · Parte I</c:v>
                </c:pt>
                <c:pt idx="2">
                  <c:v>Producto 2 · Parte II</c:v>
                </c:pt>
                <c:pt idx="3">
                  <c:v>Producto 3</c:v>
                </c:pt>
                <c:pt idx="4">
                  <c:v>Producto 4</c:v>
                </c:pt>
                <c:pt idx="5">
                  <c:v>Cierre del convenio</c:v>
                </c:pt>
              </c:strCache>
            </c:strRef>
          </c:cat>
          <c:val>
            <c:numRef>
              <c:f>'Datos gráficos'!$F$5:$F$10</c:f>
              <c:numCache>
                <c:formatCode>General</c:formatCode>
                <c:ptCount val="6"/>
                <c:pt idx="0">
                  <c:v>0</c:v>
                </c:pt>
                <c:pt idx="1">
                  <c:v>131</c:v>
                </c:pt>
                <c:pt idx="2">
                  <c:v>61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4"/>
          <c:order val="4"/>
          <c:tx>
            <c:strRef>
              <c:f>'Datos gráficos'!G4</c:f>
              <c:strCache>
                <c:ptCount val="1"/>
                <c:pt idx="0">
                  <c:v>Entregado</c:v>
                </c:pt>
              </c:strCache>
            </c:strRef>
          </c:tx>
          <c:spPr>
            <a:solidFill>
              <a:srgbClr val="2f7d3e"/>
            </a:solidFill>
            <a:ln w="0">
              <a:solidFill>
                <a:srgbClr val="2f7d3e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gráficos'!$B$5:$B$10</c:f>
              <c:strCache>
                <c:ptCount val="6"/>
                <c:pt idx="0">
                  <c:v>Producto 1</c:v>
                </c:pt>
                <c:pt idx="1">
                  <c:v>Producto 2 · Parte I</c:v>
                </c:pt>
                <c:pt idx="2">
                  <c:v>Producto 2 · Parte II</c:v>
                </c:pt>
                <c:pt idx="3">
                  <c:v>Producto 3</c:v>
                </c:pt>
                <c:pt idx="4">
                  <c:v>Producto 4</c:v>
                </c:pt>
                <c:pt idx="5">
                  <c:v>Cierre del convenio</c:v>
                </c:pt>
              </c:strCache>
            </c:strRef>
          </c:cat>
          <c:val>
            <c:numRef>
              <c:f>'Datos gráficos'!$G$5:$G$10</c:f>
              <c:numCache>
                <c:formatCode>General</c:formatCode>
                <c:ptCount val="6"/>
                <c:pt idx="0">
                  <c:v>66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5"/>
          <c:order val="5"/>
          <c:tx>
            <c:strRef>
              <c:f>'Datos gráficos'!H4</c:f>
              <c:strCache>
                <c:ptCount val="1"/>
                <c:pt idx="0">
                  <c:v>Cierre</c:v>
                </c:pt>
              </c:strCache>
            </c:strRef>
          </c:tx>
          <c:spPr>
            <a:solidFill>
              <a:srgbClr val="b9c6bf"/>
            </a:solidFill>
            <a:ln w="0">
              <a:solidFill>
                <a:srgbClr val="b9c6b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gráficos'!$B$5:$B$10</c:f>
              <c:strCache>
                <c:ptCount val="6"/>
                <c:pt idx="0">
                  <c:v>Producto 1</c:v>
                </c:pt>
                <c:pt idx="1">
                  <c:v>Producto 2 · Parte I</c:v>
                </c:pt>
                <c:pt idx="2">
                  <c:v>Producto 2 · Parte II</c:v>
                </c:pt>
                <c:pt idx="3">
                  <c:v>Producto 3</c:v>
                </c:pt>
                <c:pt idx="4">
                  <c:v>Producto 4</c:v>
                </c:pt>
                <c:pt idx="5">
                  <c:v>Cierre del convenio</c:v>
                </c:pt>
              </c:strCache>
            </c:strRef>
          </c:cat>
          <c:val>
            <c:numRef>
              <c:f>'Datos gráficos'!$H$5:$H$10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28</c:v>
                </c:pt>
              </c:numCache>
            </c:numRef>
          </c:val>
        </c:ser>
        <c:gapWidth val="40"/>
        <c:overlap val="100"/>
        <c:axId val="25919341"/>
        <c:axId val="55678648"/>
      </c:barChart>
      <c:catAx>
        <c:axId val="2591934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678648"/>
        <c:crosses val="autoZero"/>
        <c:auto val="1"/>
        <c:lblAlgn val="ctr"/>
        <c:lblOffset val="100"/>
        <c:noMultiLvlLbl val="0"/>
      </c:catAx>
      <c:valAx>
        <c:axId val="55678648"/>
        <c:scaling>
          <c:orientation val="minMax"/>
          <c:max val="46569"/>
          <c:min val="45931"/>
        </c:scaling>
        <c:delete val="0"/>
        <c:axPos val="l"/>
        <c:numFmt formatCode="mmm\ 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919341"/>
        <c:crosses val="autoZero"/>
        <c:crossBetween val="between"/>
        <c:majorUnit val="91"/>
      </c:valAx>
      <c:spPr>
        <a:noFill/>
        <a:ln w="0">
          <a:noFill/>
        </a:ln>
      </c:spPr>
    </c:plotArea>
    <c:legend>
      <c:legendPos val="b"/>
      <c:legendEntry>
        <c:idx val="0"/>
        <c:delete val="1"/>
      </c:legendEntry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tx>
            <c:strRef>
              <c:f>'Datos gráficos'!C12</c:f>
              <c:strCache>
                <c:ptCount val="1"/>
                <c:pt idx="0">
                  <c:v>Monto (S/)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f7d3e"/>
              </a:solidFill>
              <a:ln w="0"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0e6f78"/>
              </a:solidFill>
              <a:ln w="0"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c6d4cb"/>
              </a:solidFill>
              <a:ln w="0">
                <a:solidFill>
                  <a:srgbClr val="ffffff"/>
                </a:solidFill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1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'Datos gráficos'!$B$13:$B$15</c:f>
              <c:strCache>
                <c:ptCount val="3"/>
                <c:pt idx="0">
                  <c:v>Desembolsado</c:v>
                </c:pt>
                <c:pt idx="1">
                  <c:v>Por tramitar</c:v>
                </c:pt>
                <c:pt idx="2">
                  <c:v>Pendiente de producto</c:v>
                </c:pt>
              </c:strCache>
            </c:strRef>
          </c:cat>
          <c:val>
            <c:numRef>
              <c:f>'Datos gráficos'!$C$13:$C$15</c:f>
              <c:numCache>
                <c:formatCode>"S/ "#,##0.00;"-S/ "#,##0.00;\-</c:formatCode>
                <c:ptCount val="3"/>
                <c:pt idx="0">
                  <c:v>0</c:v>
                </c:pt>
                <c:pt idx="1">
                  <c:v>141375</c:v>
                </c:pt>
                <c:pt idx="2">
                  <c:v>329875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'Datos gráficos'!C17</c:f>
              <c:strCache>
                <c:ptCount val="1"/>
                <c:pt idx="0">
                  <c:v>Desembolsado</c:v>
                </c:pt>
              </c:strCache>
            </c:strRef>
          </c:tx>
          <c:spPr>
            <a:solidFill>
              <a:srgbClr val="2f7d3e"/>
            </a:solidFill>
            <a:ln w="0">
              <a:solidFill>
                <a:srgbClr val="2f7d3e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gráficos'!$B$18:$B$21</c:f>
              <c:strCache>
                <c:ptCount val="4"/>
                <c:pt idx="0">
                  <c:v>D1 · 30 %</c:v>
                </c:pt>
                <c:pt idx="1">
                  <c:v>D2 · 30 %</c:v>
                </c:pt>
                <c:pt idx="2">
                  <c:v>D3 · 25 %</c:v>
                </c:pt>
                <c:pt idx="3">
                  <c:v>D4 · 15 %</c:v>
                </c:pt>
              </c:strCache>
            </c:strRef>
          </c:cat>
          <c:val>
            <c:numRef>
              <c:f>'Datos gráficos'!$C$18:$C$21</c:f>
              <c:numCache>
                <c:formatCode>"S/ "#,##0.00;"-S/ "#,##0.00;\-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strRef>
              <c:f>'Datos gráficos'!D17</c:f>
              <c:strCache>
                <c:ptCount val="1"/>
                <c:pt idx="0">
                  <c:v>Por tramitar</c:v>
                </c:pt>
              </c:strCache>
            </c:strRef>
          </c:tx>
          <c:spPr>
            <a:solidFill>
              <a:srgbClr val="0e6f78"/>
            </a:solidFill>
            <a:ln w="0">
              <a:solidFill>
                <a:srgbClr val="0e6f78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gráficos'!$B$18:$B$21</c:f>
              <c:strCache>
                <c:ptCount val="4"/>
                <c:pt idx="0">
                  <c:v>D1 · 30 %</c:v>
                </c:pt>
                <c:pt idx="1">
                  <c:v>D2 · 30 %</c:v>
                </c:pt>
                <c:pt idx="2">
                  <c:v>D3 · 25 %</c:v>
                </c:pt>
                <c:pt idx="3">
                  <c:v>D4 · 15 %</c:v>
                </c:pt>
              </c:strCache>
            </c:strRef>
          </c:cat>
          <c:val>
            <c:numRef>
              <c:f>'Datos gráficos'!$D$18:$D$21</c:f>
              <c:numCache>
                <c:formatCode>"S/ "#,##0.00;"-S/ "#,##0.00;\-</c:formatCode>
                <c:ptCount val="4"/>
                <c:pt idx="0">
                  <c:v>141375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2"/>
          <c:order val="2"/>
          <c:tx>
            <c:strRef>
              <c:f>'Datos gráficos'!E17</c:f>
              <c:strCache>
                <c:ptCount val="1"/>
                <c:pt idx="0">
                  <c:v>Pendiente</c:v>
                </c:pt>
              </c:strCache>
            </c:strRef>
          </c:tx>
          <c:spPr>
            <a:solidFill>
              <a:srgbClr val="c6d4cb"/>
            </a:solidFill>
            <a:ln w="0">
              <a:solidFill>
                <a:srgbClr val="c6d4c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gráficos'!$B$18:$B$21</c:f>
              <c:strCache>
                <c:ptCount val="4"/>
                <c:pt idx="0">
                  <c:v>D1 · 30 %</c:v>
                </c:pt>
                <c:pt idx="1">
                  <c:v>D2 · 30 %</c:v>
                </c:pt>
                <c:pt idx="2">
                  <c:v>D3 · 25 %</c:v>
                </c:pt>
                <c:pt idx="3">
                  <c:v>D4 · 15 %</c:v>
                </c:pt>
              </c:strCache>
            </c:strRef>
          </c:cat>
          <c:val>
            <c:numRef>
              <c:f>'Datos gráficos'!$E$18:$E$21</c:f>
              <c:numCache>
                <c:formatCode>"S/ "#,##0.00;"-S/ "#,##0.00;\-</c:formatCode>
                <c:ptCount val="4"/>
                <c:pt idx="0">
                  <c:v>0</c:v>
                </c:pt>
                <c:pt idx="1">
                  <c:v>141375</c:v>
                </c:pt>
                <c:pt idx="2">
                  <c:v>117812</c:v>
                </c:pt>
                <c:pt idx="3">
                  <c:v>70688</c:v>
                </c:pt>
              </c:numCache>
            </c:numRef>
          </c:val>
        </c:ser>
        <c:gapWidth val="60"/>
        <c:overlap val="100"/>
        <c:axId val="82829694"/>
        <c:axId val="27502061"/>
      </c:barChart>
      <c:catAx>
        <c:axId val="8282969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502061"/>
        <c:crosses val="autoZero"/>
        <c:auto val="1"/>
        <c:lblAlgn val="ctr"/>
        <c:lblOffset val="100"/>
        <c:noMultiLvlLbl val="0"/>
      </c:catAx>
      <c:valAx>
        <c:axId val="27502061"/>
        <c:scaling>
          <c:orientation val="minMax"/>
        </c:scaling>
        <c:delete val="0"/>
        <c:axPos val="l"/>
        <c:numFmt formatCode="&quot;S/ 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82969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'Datos gráficos'!C23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0e6f78"/>
              </a:solidFill>
              <a:ln w="0">
                <a:solidFill>
                  <a:srgbClr val="0e6f78"/>
                </a:solidFill>
              </a:ln>
            </c:spPr>
          </c:dPt>
          <c:dPt>
            <c:idx val="1"/>
            <c:invertIfNegative val="0"/>
            <c:spPr>
              <a:solidFill>
                <a:srgbClr val="8a5a00"/>
              </a:solidFill>
              <a:ln w="0">
                <a:solidFill>
                  <a:srgbClr val="8a5a00"/>
                </a:solidFill>
              </a:ln>
            </c:spPr>
          </c:dPt>
          <c:dPt>
            <c:idx val="2"/>
            <c:invertIfNegative val="0"/>
            <c:spPr>
              <a:solidFill>
                <a:srgbClr val="b3261e"/>
              </a:solidFill>
              <a:ln w="0">
                <a:solidFill>
                  <a:srgbClr val="b3261e"/>
                </a:solidFill>
              </a:ln>
            </c:spPr>
          </c:dPt>
          <c:dPt>
            <c:idx val="3"/>
            <c:invertIfNegative val="0"/>
            <c:spPr>
              <a:solidFill>
                <a:srgbClr val="2f7d3e"/>
              </a:solidFill>
              <a:ln w="0">
                <a:solidFill>
                  <a:srgbClr val="2f7d3e"/>
                </a:solidFill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gráficos'!$B$24:$B$27</c:f>
              <c:strCache>
                <c:ptCount val="4"/>
                <c:pt idx="0">
                  <c:v>Por entregar</c:v>
                </c:pt>
                <c:pt idx="1">
                  <c:v>Pronto a vencer</c:v>
                </c:pt>
                <c:pt idx="2">
                  <c:v>Vencido</c:v>
                </c:pt>
                <c:pt idx="3">
                  <c:v>Entregado</c:v>
                </c:pt>
              </c:strCache>
            </c:strRef>
          </c:cat>
          <c:val>
            <c:numRef>
              <c:f>'Datos gráficos'!$C$24:$C$27</c:f>
              <c:numCache>
                <c:formatCode>General</c:formatCode>
                <c:ptCount val="4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</c:numCache>
            </c:numRef>
          </c:val>
        </c:ser>
        <c:gapWidth val="50"/>
        <c:overlap val="0"/>
        <c:axId val="93665368"/>
        <c:axId val="77683857"/>
      </c:barChart>
      <c:catAx>
        <c:axId val="9366536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683857"/>
        <c:crosses val="autoZero"/>
        <c:auto val="1"/>
        <c:lblAlgn val="ctr"/>
        <c:lblOffset val="100"/>
        <c:noMultiLvlLbl val="0"/>
      </c:catAx>
      <c:valAx>
        <c:axId val="77683857"/>
        <c:scaling>
          <c:orientation val="minMax"/>
          <c:min val="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665368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22</xdr:row>
      <xdr:rowOff>251280</xdr:rowOff>
    </xdr:from>
    <xdr:to>
      <xdr:col>12</xdr:col>
      <xdr:colOff>689400</xdr:colOff>
      <xdr:row>38</xdr:row>
      <xdr:rowOff>164520</xdr:rowOff>
    </xdr:to>
    <xdr:graphicFrame>
      <xdr:nvGraphicFramePr>
        <xdr:cNvPr id="0" name="Chart 1"/>
        <xdr:cNvGraphicFramePr/>
      </xdr:nvGraphicFramePr>
      <xdr:xfrm>
        <a:off x="141120" y="5819760"/>
        <a:ext cx="1115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59</xdr:row>
      <xdr:rowOff>127440</xdr:rowOff>
    </xdr:from>
    <xdr:to>
      <xdr:col>4</xdr:col>
      <xdr:colOff>744120</xdr:colOff>
      <xdr:row>73</xdr:row>
      <xdr:rowOff>102960</xdr:rowOff>
    </xdr:to>
    <xdr:graphicFrame>
      <xdr:nvGraphicFramePr>
        <xdr:cNvPr id="1" name="Chart 2"/>
        <xdr:cNvGraphicFramePr/>
      </xdr:nvGraphicFramePr>
      <xdr:xfrm>
        <a:off x="141120" y="14030280"/>
        <a:ext cx="35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59</xdr:row>
      <xdr:rowOff>127440</xdr:rowOff>
    </xdr:from>
    <xdr:to>
      <xdr:col>8</xdr:col>
      <xdr:colOff>924120</xdr:colOff>
      <xdr:row>73</xdr:row>
      <xdr:rowOff>102960</xdr:rowOff>
    </xdr:to>
    <xdr:graphicFrame>
      <xdr:nvGraphicFramePr>
        <xdr:cNvPr id="2" name="Chart 3"/>
        <xdr:cNvGraphicFramePr/>
      </xdr:nvGraphicFramePr>
      <xdr:xfrm>
        <a:off x="3948480" y="14030280"/>
        <a:ext cx="37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59</xdr:row>
      <xdr:rowOff>127440</xdr:rowOff>
    </xdr:from>
    <xdr:to>
      <xdr:col>12</xdr:col>
      <xdr:colOff>564120</xdr:colOff>
      <xdr:row>73</xdr:row>
      <xdr:rowOff>102960</xdr:rowOff>
    </xdr:to>
    <xdr:graphicFrame>
      <xdr:nvGraphicFramePr>
        <xdr:cNvPr id="3" name="Chart 4"/>
        <xdr:cNvGraphicFramePr/>
      </xdr:nvGraphicFramePr>
      <xdr:xfrm>
        <a:off x="7755840" y="14030280"/>
        <a:ext cx="34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0312B"/>
    <pageSetUpPr fitToPage="true"/>
  </sheetPr>
  <dimension ref="A1:N1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3" min="2" style="0" width="13.5"/>
    <col collapsed="false" customWidth="true" hidden="false" outlineLevel="0" max="14" min="14" style="0" width="2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24.45" hidden="false" customHeight="false" outlineLevel="0" collapsed="false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15" hidden="false" customHeight="false" outlineLevel="0" collapsed="false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customFormat="false" ht="15" hidden="false" customHeight="false" outlineLevel="0" collapsed="false">
      <c r="A5" s="1"/>
      <c r="B5" s="4" t="s">
        <v>2</v>
      </c>
      <c r="C5" s="4"/>
      <c r="D5" s="5" t="s">
        <v>3</v>
      </c>
      <c r="E5" s="4" t="s">
        <v>4</v>
      </c>
      <c r="F5" s="4"/>
      <c r="G5" s="1"/>
      <c r="H5" s="4" t="s">
        <v>5</v>
      </c>
      <c r="I5" s="4"/>
      <c r="J5" s="1"/>
      <c r="K5" s="4" t="s">
        <v>6</v>
      </c>
      <c r="L5" s="4"/>
      <c r="M5" s="4"/>
      <c r="N5" s="1"/>
    </row>
    <row r="6" customFormat="false" ht="24" hidden="false" customHeight="true" outlineLevel="0" collapsed="false">
      <c r="A6" s="1"/>
      <c r="B6" s="6"/>
      <c r="C6" s="6"/>
      <c r="D6" s="7" t="n">
        <f aca="true">IF(B6="",TODAY(),B6)</f>
        <v>46309</v>
      </c>
      <c r="E6" s="8" t="n">
        <v>30</v>
      </c>
      <c r="F6" s="8"/>
      <c r="G6" s="1"/>
      <c r="H6" s="8" t="s">
        <v>7</v>
      </c>
      <c r="I6" s="8"/>
      <c r="J6" s="1"/>
      <c r="K6" s="8" t="s">
        <v>8</v>
      </c>
      <c r="L6" s="8"/>
      <c r="M6" s="8"/>
      <c r="N6" s="1"/>
    </row>
    <row r="7" customFormat="false" ht="15" hidden="false" customHeight="false" outlineLevel="0" collapsed="false">
      <c r="A7" s="1"/>
      <c r="B7" s="9" t="s">
        <v>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customFormat="false" ht="15" hidden="false" customHeight="false" outlineLevel="0" collapsed="false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customFormat="false" ht="18" hidden="false" customHeight="true" outlineLevel="0" collapsed="false">
      <c r="A9" s="1"/>
      <c r="B9" s="10" t="s">
        <v>10</v>
      </c>
      <c r="C9" s="10"/>
      <c r="D9" s="10"/>
      <c r="E9" s="11" t="s">
        <v>11</v>
      </c>
      <c r="F9" s="11"/>
      <c r="G9" s="11"/>
      <c r="H9" s="12" t="s">
        <v>12</v>
      </c>
      <c r="I9" s="12"/>
      <c r="J9" s="12"/>
      <c r="K9" s="13" t="s">
        <v>13</v>
      </c>
      <c r="L9" s="13"/>
      <c r="M9" s="13"/>
      <c r="N9" s="1"/>
    </row>
    <row r="10" customFormat="false" ht="30" hidden="false" customHeight="true" outlineLevel="0" collapsed="false">
      <c r="A10" s="1"/>
      <c r="B10" s="14" t="n">
        <f aca="false">IF('Datos gráficos'!$C$30=0,"Sin pendientes",'Datos gráficos'!$C$30)</f>
        <v>46374</v>
      </c>
      <c r="C10" s="14"/>
      <c r="D10" s="14"/>
      <c r="E10" s="15" t="n">
        <f aca="false">'Datos gráficos'!$C$33</f>
        <v>2</v>
      </c>
      <c r="F10" s="15"/>
      <c r="G10" s="15"/>
      <c r="H10" s="16" t="str">
        <f aca="false">'Datos gráficos'!$C$34&amp;" de 5"</f>
        <v>1 de 5</v>
      </c>
      <c r="I10" s="16"/>
      <c r="J10" s="16"/>
      <c r="K10" s="17" t="n">
        <f aca="false">'Datos gráficos'!$C$38</f>
        <v>226</v>
      </c>
      <c r="L10" s="17"/>
      <c r="M10" s="17"/>
      <c r="N10" s="1"/>
    </row>
    <row r="11" customFormat="false" ht="30" hidden="false" customHeight="true" outlineLevel="0" collapsed="false">
      <c r="A11" s="1"/>
      <c r="B11" s="18" t="str">
        <f aca="false">IF('Datos gráficos'!$C$30=0,"No quedan productos con fecha futura.",'Datos gráficos'!$C$31&amp;", vence en "&amp;'Datos gráficos'!$C$32&amp;" días")</f>
        <v>Producto 3, vence en 65 días</v>
      </c>
      <c r="C11" s="18"/>
      <c r="D11" s="18"/>
      <c r="E11" s="18" t="str">
        <f aca="false">IF('Datos gráficos'!$C$33&gt;0,"Confirma si ya se presentaron y márcalos como entregados.","Todo al día para la fecha de referencia.")</f>
        <v>Confirma si ya se presentaron y márcalos como entregados.</v>
      </c>
      <c r="F11" s="18"/>
      <c r="G11" s="18"/>
      <c r="H11" s="18" t="str">
        <f aca="false">"Avance físico según la Adenda: "&amp;TEXT('Datos gráficos'!$C$35*100,"0")&amp;" %"</f>
        <v>Avance físico según la Adenda: 30 %</v>
      </c>
      <c r="I11" s="18"/>
      <c r="J11" s="18"/>
      <c r="K11" s="18" t="str">
        <f aca="false">"Cierre: "&amp;RIGHT("0"&amp;DAY(Cierre),2)&amp;"/"&amp;RIGHT("0"&amp;MONTH(Cierre),2)&amp;"/"&amp;YEAR(Cierre)&amp;" · "&amp;TEXT('Datos gráficos'!$C$37*100,"0")&amp;" % del plazo transcurrido"</f>
        <v>Cierre: 28/05/2027 · 62 % del plazo transcurrido</v>
      </c>
      <c r="L11" s="18"/>
      <c r="M11" s="18"/>
      <c r="N11" s="1"/>
    </row>
    <row r="12" customFormat="false" ht="15" hidden="false" customHeight="false" outlineLevel="0" collapsed="false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customFormat="false" ht="18" hidden="false" customHeight="true" outlineLevel="0" collapsed="false">
      <c r="A13" s="1"/>
      <c r="B13" s="19" t="s">
        <v>14</v>
      </c>
      <c r="C13" s="19"/>
      <c r="D13" s="19"/>
      <c r="E13" s="12" t="s">
        <v>15</v>
      </c>
      <c r="F13" s="12"/>
      <c r="G13" s="12"/>
      <c r="H13" s="10" t="s">
        <v>16</v>
      </c>
      <c r="I13" s="10"/>
      <c r="J13" s="10"/>
      <c r="K13" s="11" t="s">
        <v>17</v>
      </c>
      <c r="L13" s="11"/>
      <c r="M13" s="11"/>
      <c r="N13" s="1"/>
    </row>
    <row r="14" customFormat="false" ht="30" hidden="false" customHeight="true" outlineLevel="0" collapsed="false">
      <c r="A14" s="1"/>
      <c r="B14" s="20" t="n">
        <f aca="false">TotalCARE</f>
        <v>471250</v>
      </c>
      <c r="C14" s="20"/>
      <c r="D14" s="20"/>
      <c r="E14" s="20" t="n">
        <f aca="false">'Datos gráficos'!$C$13</f>
        <v>0</v>
      </c>
      <c r="F14" s="20"/>
      <c r="G14" s="20"/>
      <c r="H14" s="20" t="n">
        <f aca="false">'Datos gráficos'!$C$14</f>
        <v>141375</v>
      </c>
      <c r="I14" s="20"/>
      <c r="J14" s="20"/>
      <c r="K14" s="15" t="n">
        <f aca="false">'Datos gráficos'!$C$39</f>
        <v>6</v>
      </c>
      <c r="L14" s="15"/>
      <c r="M14" s="15"/>
      <c r="N14" s="1"/>
    </row>
    <row r="15" customFormat="false" ht="30" hidden="false" customHeight="true" outlineLevel="0" collapsed="false">
      <c r="A15" s="1"/>
      <c r="B15" s="18" t="str">
        <f aca="false">"Tope Profonanpe S/ "&amp;FIXED(Parámetros!C10,2)&amp;" (incluye compra directa)"</f>
        <v>Tope Profonanpe S/ 511,250.00 (incluye compra directa)</v>
      </c>
      <c r="C15" s="18"/>
      <c r="D15" s="18"/>
      <c r="E15" s="18" t="str">
        <f aca="false">TEXT('Datos gráficos'!$C$36*100,"0")&amp;" % del monto a CARE"</f>
        <v>0 % del monto a CARE</v>
      </c>
      <c r="F15" s="18"/>
      <c r="G15" s="18"/>
      <c r="H15" s="18" t="str">
        <f aca="false">"Pendiente de producto: S/ "&amp;FIXED('Datos gráficos'!$C$15,2)</f>
        <v>Pendiente de producto: S/ 329,875.00</v>
      </c>
      <c r="I15" s="18"/>
      <c r="J15" s="18"/>
      <c r="K15" s="18" t="str">
        <f aca="false">"de "&amp;COUNTA(Dudas!$B$5:$B$10)&amp;" consultas registradas (hoja Dudas)"</f>
        <v>de 6 consultas registradas (hoja Dudas)</v>
      </c>
      <c r="L15" s="18"/>
      <c r="M15" s="18"/>
      <c r="N15" s="1"/>
    </row>
    <row r="16" customFormat="false" ht="15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customFormat="false" ht="25.5" hidden="false" customHeight="true" outlineLevel="0" collapsed="false">
      <c r="A17" s="1"/>
      <c r="B17" s="21" t="str">
        <f aca="false">IF('Datos gráficos'!$C$33&gt;0,"⚠  "&amp;'Datos gráficos'!$C$33&amp;IF('Datos gráficos'!$C$33=1," producto figura como vencido"," productos figuran como vencidos")&amp;". Los documentos no dicen si ya se presentaron: si ya se entregaron, marca «Sí» en la hoja Entregables.","✓  Sin productos vencidos para la fecha de referencia.")</f>
        <v>⚠  2 productos figuran como vencidos. Los documentos no dicen si ya se presentaron: si ya se entregaron, marca «Sí» en la hoja Entregables.</v>
      </c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1"/>
    </row>
    <row r="18" customFormat="false" ht="15" hidden="false" customHeight="fals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customFormat="false" ht="19.5" hidden="false" customHeight="true" outlineLevel="0" collapsed="false">
      <c r="A19" s="1"/>
      <c r="B19" s="22" t="s">
        <v>18</v>
      </c>
      <c r="C19" s="22"/>
      <c r="D19" s="22"/>
      <c r="E19" s="22"/>
      <c r="F19" s="23" t="n">
        <f aca="false">'Datos gráficos'!$C$35</f>
        <v>0.3</v>
      </c>
      <c r="G19" s="24" t="n">
        <f aca="false">'Datos gráficos'!$C$35</f>
        <v>0.3</v>
      </c>
      <c r="H19" s="24"/>
      <c r="I19" s="24"/>
      <c r="J19" s="24"/>
      <c r="K19" s="24"/>
      <c r="L19" s="24"/>
      <c r="M19" s="24"/>
      <c r="N19" s="1"/>
    </row>
    <row r="20" customFormat="false" ht="19.5" hidden="false" customHeight="true" outlineLevel="0" collapsed="false">
      <c r="A20" s="1"/>
      <c r="B20" s="22" t="s">
        <v>19</v>
      </c>
      <c r="C20" s="22"/>
      <c r="D20" s="22"/>
      <c r="E20" s="22"/>
      <c r="F20" s="23" t="n">
        <f aca="false">'Datos gráficos'!$C$36</f>
        <v>0</v>
      </c>
      <c r="G20" s="24" t="n">
        <f aca="false">'Datos gráficos'!$C$36</f>
        <v>0</v>
      </c>
      <c r="H20" s="24"/>
      <c r="I20" s="24"/>
      <c r="J20" s="24"/>
      <c r="K20" s="24"/>
      <c r="L20" s="24"/>
      <c r="M20" s="24"/>
      <c r="N20" s="1"/>
    </row>
    <row r="21" customFormat="false" ht="19.5" hidden="false" customHeight="true" outlineLevel="0" collapsed="false">
      <c r="A21" s="1"/>
      <c r="B21" s="22" t="s">
        <v>20</v>
      </c>
      <c r="C21" s="22"/>
      <c r="D21" s="22"/>
      <c r="E21" s="22"/>
      <c r="F21" s="23" t="n">
        <f aca="false">'Datos gráficos'!$C$37</f>
        <v>0.616298811544992</v>
      </c>
      <c r="G21" s="24" t="n">
        <f aca="false">'Datos gráficos'!$C$37</f>
        <v>0.616298811544992</v>
      </c>
      <c r="H21" s="24"/>
      <c r="I21" s="24"/>
      <c r="J21" s="24"/>
      <c r="K21" s="24"/>
      <c r="L21" s="24"/>
      <c r="M21" s="24"/>
      <c r="N21" s="1"/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customFormat="false" ht="21.75" hidden="false" customHeight="true" outlineLevel="0" collapsed="false">
      <c r="A23" s="1"/>
      <c r="B23" s="25" t="s">
        <v>21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1"/>
    </row>
    <row r="24" customFormat="false" ht="7.5" hidden="false" customHeight="tru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customFormat="false" ht="15" hidden="false" customHeight="fals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customFormat="false" ht="15" hidden="false" customHeight="fals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customFormat="false" ht="15" hidden="false" customHeight="fals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customFormat="false" ht="15" hidden="false" customHeight="fals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customFormat="false" ht="15" hidden="false" customHeight="false" outlineLevel="0" collapsed="false">
      <c r="A41" s="1"/>
      <c r="B41" s="9" t="str">
        <f aca="false">"Fecha de referencia: "&amp;RIGHT("0"&amp;DAY(FechaRef),2)&amp;"/"&amp;RIGHT("0"&amp;MONTH(FechaRef),2)&amp;"/"&amp;YEAR(FechaRef)&amp;" · Detalle semanal con marca de hoy en la hoja «Línea de tiempo»."</f>
        <v>Fecha de referencia: 14/10/2026 · Detalle semanal con marca de hoy en la hoja «Línea de tiempo».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customFormat="false" ht="21.75" hidden="false" customHeight="true" outlineLevel="0" collapsed="false">
      <c r="A42" s="1"/>
      <c r="B42" s="25" t="str">
        <f aca="false">"Entregables  ·  filtro: "&amp;FiltroEstado&amp;"  ("&amp;'Datos gráficos'!$C$40&amp;" de 5)"</f>
        <v>Entregables  ·  filtro: Todos  (5 de 5)</v>
      </c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1"/>
    </row>
    <row r="43" customFormat="false" ht="25.5" hidden="false" customHeight="true" outlineLevel="0" collapsed="false">
      <c r="A43" s="1"/>
      <c r="B43" s="26" t="s">
        <v>22</v>
      </c>
      <c r="C43" s="26"/>
      <c r="D43" s="26" t="s">
        <v>23</v>
      </c>
      <c r="E43" s="26"/>
      <c r="F43" s="26"/>
      <c r="G43" s="26" t="s">
        <v>24</v>
      </c>
      <c r="H43" s="26" t="s">
        <v>25</v>
      </c>
      <c r="I43" s="26" t="s">
        <v>26</v>
      </c>
      <c r="J43" s="26"/>
      <c r="K43" s="26" t="s">
        <v>27</v>
      </c>
      <c r="L43" s="26"/>
      <c r="M43" s="26" t="s">
        <v>28</v>
      </c>
      <c r="N43" s="1"/>
    </row>
    <row r="44" customFormat="false" ht="21.75" hidden="false" customHeight="true" outlineLevel="0" collapsed="false">
      <c r="A44" s="1"/>
      <c r="B44" s="27" t="str">
        <f aca="false">IFERROR(INDEX(Entregables!$D$5:$D$9,MATCH(1,Entregables!$T$5:$T$9,0)),"")</f>
        <v>Producto 1</v>
      </c>
      <c r="C44" s="27"/>
      <c r="D44" s="28" t="str">
        <f aca="false">IFERROR(INDEX(Entregables!$E$5:$E$9,MATCH(1,Entregables!$T$5:$T$9,0)),"")</f>
        <v>Plan de trabajo y cronograma</v>
      </c>
      <c r="E44" s="28"/>
      <c r="F44" s="28"/>
      <c r="G44" s="29" t="n">
        <f aca="false">IFERROR(INDEX(Entregables!$H$5:$H$9,MATCH(1,Entregables!$T$5:$T$9,0)),"")</f>
        <v>46011</v>
      </c>
      <c r="H44" s="30" t="n">
        <f aca="false">IFERROR(INDEX(Entregables!$N$5:$N$9,MATCH(1,Entregables!$T$5:$T$9,0)),"")</f>
        <v>-298</v>
      </c>
      <c r="I44" s="31" t="str">
        <f aca="false">IFERROR(INDEX(Entregables!$O$5:$O$9,MATCH(1,Entregables!$T$5:$T$9,0)),"")</f>
        <v>Entregado</v>
      </c>
      <c r="J44" s="31"/>
      <c r="K44" s="28" t="str">
        <f aca="false">IFERROR(INDEX(Entregables!$P$5:$P$9,MATCH(1,Entregables!$T$5:$T$9,0)),"")</f>
        <v>Presentado el 30/11/2025</v>
      </c>
      <c r="L44" s="28"/>
      <c r="M44" s="31" t="str">
        <f aca="false">IFERROR(INDEX(Entregables!$K$5:$K$9,MATCH(1,Entregables!$T$5:$T$9,0)),"")</f>
        <v>D1</v>
      </c>
      <c r="N44" s="1"/>
    </row>
    <row r="45" customFormat="false" ht="21.75" hidden="false" customHeight="true" outlineLevel="0" collapsed="false">
      <c r="A45" s="1"/>
      <c r="B45" s="27" t="str">
        <f aca="false">IFERROR(INDEX(Entregables!$D$5:$D$9,MATCH(2,Entregables!$T$5:$T$9,0)),"")</f>
        <v>Producto 2 · Parte I</v>
      </c>
      <c r="C45" s="27"/>
      <c r="D45" s="28" t="str">
        <f aca="false">IFERROR(INDEX(Entregables!$E$5:$E$9,MATCH(2,Entregables!$T$5:$T$9,0)),"")</f>
        <v>Plan de capacitación y avances</v>
      </c>
      <c r="E45" s="28"/>
      <c r="F45" s="28"/>
      <c r="G45" s="29" t="n">
        <f aca="false">IFERROR(INDEX(Entregables!$H$5:$H$9,MATCH(2,Entregables!$T$5:$T$9,0)),"")</f>
        <v>46142</v>
      </c>
      <c r="H45" s="30" t="n">
        <f aca="false">IFERROR(INDEX(Entregables!$N$5:$N$9,MATCH(2,Entregables!$T$5:$T$9,0)),"")</f>
        <v>-167</v>
      </c>
      <c r="I45" s="31" t="str">
        <f aca="false">IFERROR(INDEX(Entregables!$O$5:$O$9,MATCH(2,Entregables!$T$5:$T$9,0)),"")</f>
        <v>Vencido</v>
      </c>
      <c r="J45" s="31"/>
      <c r="K45" s="28" t="str">
        <f aca="false">IFERROR(INDEX(Entregables!$P$5:$P$9,MATCH(2,Entregables!$T$5:$T$9,0)),"")</f>
        <v>Venció hace 167 días</v>
      </c>
      <c r="L45" s="28"/>
      <c r="M45" s="31" t="str">
        <f aca="false">IFERROR(INDEX(Entregables!$K$5:$K$9,MATCH(2,Entregables!$T$5:$T$9,0)),"")</f>
        <v>D2</v>
      </c>
      <c r="N45" s="1"/>
    </row>
    <row r="46" customFormat="false" ht="21.75" hidden="false" customHeight="true" outlineLevel="0" collapsed="false">
      <c r="A46" s="1"/>
      <c r="B46" s="27" t="str">
        <f aca="false">IFERROR(INDEX(Entregables!$D$5:$D$9,MATCH(3,Entregables!$T$5:$T$9,0)),"")</f>
        <v>Producto 2 · Parte II</v>
      </c>
      <c r="C46" s="27"/>
      <c r="D46" s="28" t="str">
        <f aca="false">IFERROR(INDEX(Entregables!$E$5:$E$9,MATCH(3,Entregables!$T$5:$T$9,0)),"")</f>
        <v>Plan de recuperación y fichas</v>
      </c>
      <c r="E46" s="28"/>
      <c r="F46" s="28"/>
      <c r="G46" s="29" t="n">
        <f aca="false">IFERROR(INDEX(Entregables!$H$5:$H$9,MATCH(3,Entregables!$T$5:$T$9,0)),"")</f>
        <v>46203</v>
      </c>
      <c r="H46" s="30" t="n">
        <f aca="false">IFERROR(INDEX(Entregables!$N$5:$N$9,MATCH(3,Entregables!$T$5:$T$9,0)),"")</f>
        <v>-106</v>
      </c>
      <c r="I46" s="31" t="str">
        <f aca="false">IFERROR(INDEX(Entregables!$O$5:$O$9,MATCH(3,Entregables!$T$5:$T$9,0)),"")</f>
        <v>Vencido</v>
      </c>
      <c r="J46" s="31"/>
      <c r="K46" s="28" t="str">
        <f aca="false">IFERROR(INDEX(Entregables!$P$5:$P$9,MATCH(3,Entregables!$T$5:$T$9,0)),"")</f>
        <v>Venció hace 106 días</v>
      </c>
      <c r="L46" s="28"/>
      <c r="M46" s="31" t="str">
        <f aca="false">IFERROR(INDEX(Entregables!$K$5:$K$9,MATCH(3,Entregables!$T$5:$T$9,0)),"")</f>
        <v>D2</v>
      </c>
      <c r="N46" s="1"/>
    </row>
    <row r="47" customFormat="false" ht="21.75" hidden="false" customHeight="true" outlineLevel="0" collapsed="false">
      <c r="A47" s="1"/>
      <c r="B47" s="27" t="str">
        <f aca="false">IFERROR(INDEX(Entregables!$D$5:$D$9,MATCH(4,Entregables!$T$5:$T$9,0)),"")</f>
        <v>Producto 3</v>
      </c>
      <c r="C47" s="27"/>
      <c r="D47" s="28" t="str">
        <f aca="false">IFERROR(INDEX(Entregables!$E$5:$E$9,MATCH(4,Entregables!$T$5:$T$9,0)),"")</f>
        <v>Pasantía, plantaciones y planes de vida</v>
      </c>
      <c r="E47" s="28"/>
      <c r="F47" s="28"/>
      <c r="G47" s="29" t="n">
        <f aca="false">IFERROR(INDEX(Entregables!$H$5:$H$9,MATCH(4,Entregables!$T$5:$T$9,0)),"")</f>
        <v>46374</v>
      </c>
      <c r="H47" s="30" t="n">
        <f aca="false">IFERROR(INDEX(Entregables!$N$5:$N$9,MATCH(4,Entregables!$T$5:$T$9,0)),"")</f>
        <v>65</v>
      </c>
      <c r="I47" s="31" t="str">
        <f aca="false">IFERROR(INDEX(Entregables!$O$5:$O$9,MATCH(4,Entregables!$T$5:$T$9,0)),"")</f>
        <v>Por entregar</v>
      </c>
      <c r="J47" s="31"/>
      <c r="K47" s="28" t="str">
        <f aca="false">IFERROR(INDEX(Entregables!$P$5:$P$9,MATCH(4,Entregables!$T$5:$T$9,0)),"")</f>
        <v>Vence en 65 días</v>
      </c>
      <c r="L47" s="28"/>
      <c r="M47" s="31" t="str">
        <f aca="false">IFERROR(INDEX(Entregables!$K$5:$K$9,MATCH(4,Entregables!$T$5:$T$9,0)),"")</f>
        <v>D3</v>
      </c>
      <c r="N47" s="1"/>
    </row>
    <row r="48" customFormat="false" ht="21.75" hidden="false" customHeight="true" outlineLevel="0" collapsed="false">
      <c r="A48" s="1"/>
      <c r="B48" s="27" t="str">
        <f aca="false">IFERROR(INDEX(Entregables!$D$5:$D$9,MATCH(5,Entregables!$T$5:$T$9,0)),"")</f>
        <v>Producto 4</v>
      </c>
      <c r="C48" s="27"/>
      <c r="D48" s="28" t="str">
        <f aca="false">IFERROR(INDEX(Entregables!$E$5:$E$9,MATCH(5,Entregables!$T$5:$T$9,0)),"")</f>
        <v>Informe final y resultados</v>
      </c>
      <c r="E48" s="28"/>
      <c r="F48" s="28"/>
      <c r="G48" s="29" t="n">
        <f aca="false">IFERROR(INDEX(Entregables!$H$5:$H$9,MATCH(5,Entregables!$T$5:$T$9,0)),"")</f>
        <v>46507</v>
      </c>
      <c r="H48" s="30" t="n">
        <f aca="false">IFERROR(INDEX(Entregables!$N$5:$N$9,MATCH(5,Entregables!$T$5:$T$9,0)),"")</f>
        <v>198</v>
      </c>
      <c r="I48" s="31" t="str">
        <f aca="false">IFERROR(INDEX(Entregables!$O$5:$O$9,MATCH(5,Entregables!$T$5:$T$9,0)),"")</f>
        <v>Por entregar</v>
      </c>
      <c r="J48" s="31"/>
      <c r="K48" s="28" t="str">
        <f aca="false">IFERROR(INDEX(Entregables!$P$5:$P$9,MATCH(5,Entregables!$T$5:$T$9,0)),"")</f>
        <v>Vence en 198 días</v>
      </c>
      <c r="L48" s="28"/>
      <c r="M48" s="31" t="str">
        <f aca="false">IFERROR(INDEX(Entregables!$K$5:$K$9,MATCH(5,Entregables!$T$5:$T$9,0)),"")</f>
        <v>D4</v>
      </c>
      <c r="N48" s="1"/>
    </row>
    <row r="49" customFormat="false" ht="15" hidden="false" customHeight="false" outlineLevel="0" collapsed="false">
      <c r="A49" s="1"/>
      <c r="B49" s="32" t="str">
        <f aca="false">IF('Datos gráficos'!$C$40=0,"No hay productos en este estado para la fecha de referencia. Cambia el filtro en H6.","")</f>
        <v/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customFormat="false" ht="21.75" hidden="false" customHeight="true" outlineLevel="0" collapsed="false">
      <c r="A51" s="1"/>
      <c r="B51" s="25" t="s">
        <v>29</v>
      </c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1"/>
    </row>
    <row r="52" customFormat="false" ht="25.5" hidden="false" customHeight="true" outlineLevel="0" collapsed="false">
      <c r="A52" s="1"/>
      <c r="B52" s="26" t="s">
        <v>28</v>
      </c>
      <c r="C52" s="26" t="s">
        <v>30</v>
      </c>
      <c r="D52" s="26"/>
      <c r="E52" s="26" t="s">
        <v>31</v>
      </c>
      <c r="F52" s="26" t="s">
        <v>32</v>
      </c>
      <c r="G52" s="26" t="s">
        <v>33</v>
      </c>
      <c r="H52" s="26"/>
      <c r="I52" s="26" t="s">
        <v>34</v>
      </c>
      <c r="J52" s="26" t="s">
        <v>35</v>
      </c>
      <c r="K52" s="26" t="s">
        <v>26</v>
      </c>
      <c r="L52" s="26"/>
      <c r="M52" s="26" t="s">
        <v>36</v>
      </c>
      <c r="N52" s="1"/>
    </row>
    <row r="53" customFormat="false" ht="21.75" hidden="false" customHeight="true" outlineLevel="0" collapsed="false">
      <c r="A53" s="1"/>
      <c r="B53" s="33" t="str">
        <f aca="false">Desembolsos!A5</f>
        <v>D1</v>
      </c>
      <c r="C53" s="34" t="n">
        <f aca="false">Desembolsos!B5</f>
        <v>141375</v>
      </c>
      <c r="D53" s="34"/>
      <c r="E53" s="35" t="n">
        <f aca="false">Desembolsos!C5</f>
        <v>0.3</v>
      </c>
      <c r="F53" s="29" t="n">
        <f aca="false">Desembolsos!F5</f>
        <v>45961</v>
      </c>
      <c r="G53" s="28" t="str">
        <f aca="false">Desembolsos!G5</f>
        <v>Producto 1</v>
      </c>
      <c r="H53" s="28"/>
      <c r="I53" s="29" t="n">
        <f aca="false">Desembolsos!I5</f>
        <v>46011</v>
      </c>
      <c r="J53" s="36" t="n">
        <f aca="false">Desembolsos!J5</f>
        <v>50</v>
      </c>
      <c r="K53" s="31" t="str">
        <f aca="false">Desembolsos!N5</f>
        <v>Por tramitar</v>
      </c>
      <c r="L53" s="31"/>
      <c r="M53" s="29" t="str">
        <f aca="false">IF(Desembolsos!M5="","",Desembolsos!M5)</f>
        <v/>
      </c>
      <c r="N53" s="1"/>
    </row>
    <row r="54" customFormat="false" ht="21.75" hidden="false" customHeight="true" outlineLevel="0" collapsed="false">
      <c r="A54" s="1"/>
      <c r="B54" s="33" t="str">
        <f aca="false">Desembolsos!A6</f>
        <v>D2</v>
      </c>
      <c r="C54" s="34" t="n">
        <f aca="false">Desembolsos!B6</f>
        <v>141375</v>
      </c>
      <c r="D54" s="34"/>
      <c r="E54" s="35" t="n">
        <f aca="false">Desembolsos!C6</f>
        <v>0.3</v>
      </c>
      <c r="F54" s="29" t="n">
        <f aca="false">Desembolsos!F6</f>
        <v>46066</v>
      </c>
      <c r="G54" s="28" t="str">
        <f aca="false">Desembolsos!G6</f>
        <v>Producto 2 (Parte I y Parte II)</v>
      </c>
      <c r="H54" s="28"/>
      <c r="I54" s="29" t="n">
        <f aca="false">Desembolsos!I6</f>
        <v>46203</v>
      </c>
      <c r="J54" s="36" t="n">
        <f aca="false">Desembolsos!J6</f>
        <v>137</v>
      </c>
      <c r="K54" s="31" t="str">
        <f aca="false">Desembolsos!N6</f>
        <v>Pendiente de producto</v>
      </c>
      <c r="L54" s="31"/>
      <c r="M54" s="29" t="str">
        <f aca="false">IF(Desembolsos!M6="","",Desembolsos!M6)</f>
        <v/>
      </c>
      <c r="N54" s="1"/>
    </row>
    <row r="55" customFormat="false" ht="21.75" hidden="false" customHeight="true" outlineLevel="0" collapsed="false">
      <c r="A55" s="1"/>
      <c r="B55" s="33" t="str">
        <f aca="false">Desembolsos!A7</f>
        <v>D3</v>
      </c>
      <c r="C55" s="34" t="n">
        <f aca="false">Desembolsos!B7</f>
        <v>117812</v>
      </c>
      <c r="D55" s="34"/>
      <c r="E55" s="35" t="n">
        <f aca="false">Desembolsos!C7</f>
        <v>0.249998938992042</v>
      </c>
      <c r="F55" s="29" t="n">
        <f aca="false">Desembolsos!F7</f>
        <v>46186</v>
      </c>
      <c r="G55" s="28" t="str">
        <f aca="false">Desembolsos!G7</f>
        <v>Producto 3</v>
      </c>
      <c r="H55" s="28"/>
      <c r="I55" s="29" t="n">
        <f aca="false">Desembolsos!I7</f>
        <v>46374</v>
      </c>
      <c r="J55" s="36" t="n">
        <f aca="false">Desembolsos!J7</f>
        <v>188</v>
      </c>
      <c r="K55" s="31" t="str">
        <f aca="false">Desembolsos!N7</f>
        <v>Pendiente de producto</v>
      </c>
      <c r="L55" s="31"/>
      <c r="M55" s="29" t="str">
        <f aca="false">IF(Desembolsos!M7="","",Desembolsos!M7)</f>
        <v/>
      </c>
      <c r="N55" s="1"/>
    </row>
    <row r="56" customFormat="false" ht="21.75" hidden="false" customHeight="true" outlineLevel="0" collapsed="false">
      <c r="A56" s="1"/>
      <c r="B56" s="33" t="str">
        <f aca="false">Desembolsos!A8</f>
        <v>D4</v>
      </c>
      <c r="C56" s="34" t="n">
        <f aca="false">Desembolsos!B8</f>
        <v>70688</v>
      </c>
      <c r="D56" s="34"/>
      <c r="E56" s="35" t="n">
        <f aca="false">Desembolsos!C8</f>
        <v>0.150001061007958</v>
      </c>
      <c r="F56" s="29" t="str">
        <f aca="false">Desembolsos!F8</f>
        <v>Al presentar P4</v>
      </c>
      <c r="G56" s="28" t="str">
        <f aca="false">Desembolsos!G8</f>
        <v>Producto 4</v>
      </c>
      <c r="H56" s="28"/>
      <c r="I56" s="29" t="n">
        <f aca="false">Desembolsos!I8</f>
        <v>46507</v>
      </c>
      <c r="J56" s="36" t="n">
        <f aca="false">Desembolsos!J8</f>
        <v>0</v>
      </c>
      <c r="K56" s="31" t="str">
        <f aca="false">Desembolsos!N8</f>
        <v>Pendiente de producto</v>
      </c>
      <c r="L56" s="31"/>
      <c r="M56" s="29" t="str">
        <f aca="false">IF(Desembolsos!M8="","",Desembolsos!M8)</f>
        <v/>
      </c>
      <c r="N56" s="1"/>
    </row>
    <row r="57" customFormat="false" ht="15" hidden="false" customHeight="false" outlineLevel="0" collapsed="false">
      <c r="A57" s="1"/>
      <c r="B57" s="37" t="s">
        <v>37</v>
      </c>
      <c r="C57" s="38" t="n">
        <f aca="false">TotalCARE</f>
        <v>471250</v>
      </c>
      <c r="D57" s="38"/>
      <c r="E57" s="39" t="n">
        <f aca="false">SUM(E53:E56)</f>
        <v>1</v>
      </c>
      <c r="F57" s="1"/>
      <c r="G57" s="9" t="s">
        <v>38</v>
      </c>
      <c r="H57" s="1"/>
      <c r="I57" s="1"/>
      <c r="J57" s="1"/>
      <c r="K57" s="1"/>
      <c r="L57" s="1"/>
      <c r="M57" s="1"/>
      <c r="N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customFormat="false" ht="21.75" hidden="false" customHeight="true" outlineLevel="0" collapsed="false">
      <c r="A59" s="1"/>
      <c r="B59" s="25" t="s">
        <v>39</v>
      </c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1"/>
    </row>
    <row r="60" customFormat="false" ht="19.5" hidden="false" customHeight="true" outlineLevel="0" collapsed="false">
      <c r="A60" s="1"/>
      <c r="B60" s="40" t="s">
        <v>40</v>
      </c>
      <c r="C60" s="1"/>
      <c r="D60" s="1"/>
      <c r="E60" s="1"/>
      <c r="F60" s="40" t="s">
        <v>41</v>
      </c>
      <c r="G60" s="1"/>
      <c r="H60" s="1"/>
      <c r="I60" s="1"/>
      <c r="J60" s="40" t="s">
        <v>42</v>
      </c>
      <c r="K60" s="1"/>
      <c r="L60" s="1"/>
      <c r="M60" s="1"/>
      <c r="N60" s="1"/>
    </row>
    <row r="61" customFormat="false" ht="15" hidden="false" customHeight="fals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customFormat="false" ht="15" hidden="false" customHeight="fals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customFormat="false" ht="15" hidden="false" customHeight="fals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 customFormat="false" ht="15" hidden="false" customHeight="fals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customFormat="false" ht="15" hidden="false" customHeight="fals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customFormat="false" ht="15" hidden="false" customHeight="fals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</row>
    <row r="67" customFormat="false" ht="15" hidden="false" customHeight="fals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</row>
    <row r="68" customFormat="false" ht="15" hidden="false" customHeight="fals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  <row r="69" customFormat="false" ht="15" hidden="false" customHeight="fals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customFormat="false" ht="15" hidden="false" customHeight="fals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customFormat="false" ht="15" hidden="false" customHeight="fals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customFormat="false" ht="15" hidden="false" customHeight="fals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</row>
    <row r="73" customFormat="false" ht="15" hidden="false" customHeight="fals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</row>
    <row r="74" customFormat="false" ht="15" hidden="false" customHeight="fals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customFormat="false" ht="15" hidden="false" customHeight="fals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</row>
    <row r="76" customFormat="false" ht="15" hidden="false" customHeight="fals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</row>
    <row r="77" customFormat="false" ht="21.75" hidden="false" customHeight="true" outlineLevel="0" collapsed="false">
      <c r="A77" s="1"/>
      <c r="B77" s="25" t="str">
        <f aca="false">"Detalle: "&amp;ProdSel</f>
        <v>Detalle: Producto 2 · Parte II</v>
      </c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1"/>
    </row>
    <row r="78" customFormat="false" ht="19.5" hidden="false" customHeight="true" outlineLevel="0" collapsed="false">
      <c r="A78" s="1"/>
      <c r="B78" s="41" t="s">
        <v>23</v>
      </c>
      <c r="C78" s="41"/>
      <c r="D78" s="42" t="str">
        <f aca="false">INDEX(Entregables!$E$5:$E$9,'Datos gráficos'!$C$41)</f>
        <v>Plan de recuperación y fichas</v>
      </c>
      <c r="E78" s="42"/>
      <c r="F78" s="42"/>
      <c r="G78" s="42"/>
      <c r="H78" s="42"/>
      <c r="I78" s="42"/>
      <c r="J78" s="42"/>
      <c r="K78" s="42"/>
      <c r="L78" s="42"/>
      <c r="M78" s="42"/>
      <c r="N78" s="1"/>
    </row>
    <row r="79" customFormat="false" ht="19.5" hidden="false" customHeight="true" outlineLevel="0" collapsed="false">
      <c r="A79" s="1"/>
      <c r="B79" s="41" t="s">
        <v>43</v>
      </c>
      <c r="C79" s="41"/>
      <c r="D79" s="42" t="str">
        <f aca="false">"Del "&amp;RIGHT("0"&amp;DAY(INDEX(Entregables!$G$5:$G$9,'Datos gráficos'!$C$41)),2)&amp;"/"&amp;RIGHT("0"&amp;MONTH(INDEX(Entregables!$G$5:$G$9,'Datos gráficos'!$C$41)),2)&amp;"/"&amp;YEAR(INDEX(Entregables!$G$5:$G$9,'Datos gráficos'!$C$41))&amp;" al "&amp;RIGHT("0"&amp;DAY(INDEX(Entregables!$H$5:$H$9,'Datos gráficos'!$C$41)),2)&amp;"/"&amp;RIGHT("0"&amp;MONTH(INDEX(Entregables!$H$5:$H$9,'Datos gráficos'!$C$41)),2)&amp;"/"&amp;YEAR(INDEX(Entregables!$H$5:$H$9,'Datos gráficos'!$C$41))&amp;" (días "&amp;INDEX(Entregables!$I$5:$I$9,'Datos gráficos'!$C$41)&amp;" a "&amp;INDEX(Entregables!$F$5:$F$9,'Datos gráficos'!$C$41)&amp;")"</f>
        <v>Del 01/05/2026 al 30/06/2026 (días 197 a 257)</v>
      </c>
      <c r="E79" s="42"/>
      <c r="F79" s="42"/>
      <c r="G79" s="42"/>
      <c r="H79" s="42"/>
      <c r="I79" s="42"/>
      <c r="J79" s="42"/>
      <c r="K79" s="42"/>
      <c r="L79" s="42"/>
      <c r="M79" s="42"/>
      <c r="N79" s="1"/>
    </row>
    <row r="80" customFormat="false" ht="19.5" hidden="false" customHeight="true" outlineLevel="0" collapsed="false">
      <c r="A80" s="1"/>
      <c r="B80" s="41" t="s">
        <v>24</v>
      </c>
      <c r="C80" s="41"/>
      <c r="D80" s="43" t="n">
        <f aca="false">INDEX(Entregables!$H$5:$H$9,'Datos gráficos'!$C$41)</f>
        <v>46203</v>
      </c>
      <c r="E80" s="43"/>
      <c r="F80" s="43"/>
      <c r="G80" s="43"/>
      <c r="H80" s="43"/>
      <c r="I80" s="43"/>
      <c r="J80" s="43"/>
      <c r="K80" s="43"/>
      <c r="L80" s="43"/>
      <c r="M80" s="43"/>
      <c r="N80" s="1"/>
    </row>
    <row r="81" customFormat="false" ht="19.5" hidden="false" customHeight="true" outlineLevel="0" collapsed="false">
      <c r="A81" s="1"/>
      <c r="B81" s="41" t="s">
        <v>26</v>
      </c>
      <c r="C81" s="41"/>
      <c r="D81" s="42" t="str">
        <f aca="false">INDEX(Entregables!$O$5:$O$9,'Datos gráficos'!$C$41)</f>
        <v>Vencido</v>
      </c>
      <c r="E81" s="42"/>
      <c r="F81" s="42"/>
      <c r="G81" s="42"/>
      <c r="H81" s="42"/>
      <c r="I81" s="42"/>
      <c r="J81" s="42"/>
      <c r="K81" s="42"/>
      <c r="L81" s="42"/>
      <c r="M81" s="42"/>
      <c r="N81" s="1"/>
    </row>
    <row r="82" customFormat="false" ht="19.5" hidden="false" customHeight="true" outlineLevel="0" collapsed="false">
      <c r="A82" s="1"/>
      <c r="B82" s="41" t="s">
        <v>27</v>
      </c>
      <c r="C82" s="41"/>
      <c r="D82" s="42" t="str">
        <f aca="false">INDEX(Entregables!$P$5:$P$9,'Datos gráficos'!$C$41)</f>
        <v>Venció hace 106 días</v>
      </c>
      <c r="E82" s="42"/>
      <c r="F82" s="42"/>
      <c r="G82" s="42"/>
      <c r="H82" s="42"/>
      <c r="I82" s="42"/>
      <c r="J82" s="42"/>
      <c r="K82" s="42"/>
      <c r="L82" s="42"/>
      <c r="M82" s="42"/>
      <c r="N82" s="1"/>
    </row>
    <row r="83" customFormat="false" ht="19.5" hidden="false" customHeight="true" outlineLevel="0" collapsed="false">
      <c r="A83" s="1"/>
      <c r="B83" s="41" t="s">
        <v>44</v>
      </c>
      <c r="C83" s="41"/>
      <c r="D83" s="44" t="n">
        <f aca="false">INDEX(Entregables!$J$5:$J$9,'Datos gráficos'!$C$41)</f>
        <v>0.15</v>
      </c>
      <c r="E83" s="44"/>
      <c r="F83" s="44"/>
      <c r="G83" s="44"/>
      <c r="H83" s="44"/>
      <c r="I83" s="44"/>
      <c r="J83" s="44"/>
      <c r="K83" s="44"/>
      <c r="L83" s="44"/>
      <c r="M83" s="44"/>
      <c r="N83" s="1"/>
    </row>
    <row r="84" customFormat="false" ht="19.5" hidden="false" customHeight="true" outlineLevel="0" collapsed="false">
      <c r="A84" s="1"/>
      <c r="B84" s="41" t="s">
        <v>45</v>
      </c>
      <c r="C84" s="41"/>
      <c r="D84" s="42" t="str">
        <f aca="false">INDEX(Desembolsos!$A$5:$A$8,MATCH(INDEX(Entregables!$K$5:$K$9,'Datos gráficos'!$C$41),Desembolsos!$A$5:$A$8,0))&amp;" · S/ "&amp;FIXED(INDEX(Desembolsos!$B$5:$B$8,MATCH(INDEX(Entregables!$K$5:$K$9,'Datos gráficos'!$C$41),Desembolsos!$A$5:$A$8,0)),2)&amp;" · "&amp;INDEX(Desembolsos!$N$5:$N$8,MATCH(INDEX(Entregables!$K$5:$K$9,'Datos gráficos'!$C$41),Desembolsos!$A$5:$A$8,0))</f>
        <v>D2 · S/ 141,375.00 · Pendiente de producto</v>
      </c>
      <c r="E84" s="42"/>
      <c r="F84" s="42"/>
      <c r="G84" s="42"/>
      <c r="H84" s="42"/>
      <c r="I84" s="42"/>
      <c r="J84" s="42"/>
      <c r="K84" s="42"/>
      <c r="L84" s="42"/>
      <c r="M84" s="42"/>
      <c r="N84" s="1"/>
    </row>
    <row r="85" customFormat="false" ht="19.5" hidden="false" customHeight="true" outlineLevel="0" collapsed="false">
      <c r="A85" s="1"/>
      <c r="B85" s="41" t="s">
        <v>46</v>
      </c>
      <c r="C85" s="41"/>
      <c r="D85" s="42" t="str">
        <f aca="false">INDEX(Entregables!$Q$5:$Q$9,'Datos gráficos'!$C$41)</f>
        <v>el plan de recuperación y conectividad</v>
      </c>
      <c r="E85" s="42"/>
      <c r="F85" s="42"/>
      <c r="G85" s="42"/>
      <c r="H85" s="42"/>
      <c r="I85" s="42"/>
      <c r="J85" s="42"/>
      <c r="K85" s="42"/>
      <c r="L85" s="42"/>
      <c r="M85" s="42"/>
      <c r="N85" s="1"/>
    </row>
    <row r="86" customFormat="false" ht="99.75" hidden="false" customHeight="true" outlineLevel="0" collapsed="false">
      <c r="A86" s="1"/>
      <c r="B86" s="41" t="s">
        <v>47</v>
      </c>
      <c r="C86" s="41"/>
      <c r="D86" s="42" t="str">
        <f aca="false">INDEX(Entregables!$R$5:$R$9,'Datos gráficos'!$C$41)</f>
        <v>• Plan de recuperación y conectividad consensuado con las comunidades nativas, con actas de aprobación.
• Fichas de caracterización de áreas de recuperación.
• Informe de ejecución de los módulos 3 y 4 del plan «Tsimeeri».</v>
      </c>
      <c r="E86" s="42"/>
      <c r="F86" s="42"/>
      <c r="G86" s="42"/>
      <c r="H86" s="42"/>
      <c r="I86" s="42"/>
      <c r="J86" s="42"/>
      <c r="K86" s="42"/>
      <c r="L86" s="42"/>
      <c r="M86" s="42"/>
      <c r="N86" s="1"/>
    </row>
    <row r="87" customFormat="false" ht="15" hidden="false" customHeight="fals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 customFormat="false" ht="25.5" hidden="false" customHeight="true" outlineLevel="0" collapsed="false">
      <c r="A88" s="1"/>
      <c r="B88" s="45" t="s">
        <v>48</v>
      </c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1"/>
    </row>
    <row r="89" customFormat="false" ht="15" hidden="false" customHeight="fals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</row>
    <row r="90" customFormat="false" ht="15" hidden="false" customHeight="fals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</row>
    <row r="91" customFormat="false" ht="15" hidden="false" customHeight="fals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</row>
    <row r="92" customFormat="false" ht="15" hidden="false" customHeight="fals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</row>
    <row r="93" customFormat="false" ht="15" hidden="false" customHeight="fals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</row>
    <row r="94" customFormat="false" ht="15" hidden="false" customHeight="fals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</row>
    <row r="95" customFormat="false" ht="15" hidden="false" customHeight="fals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</row>
    <row r="96" customFormat="false" ht="15" hidden="false" customHeight="fals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</row>
    <row r="97" customFormat="false" ht="15" hidden="false" customHeight="fals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</row>
    <row r="98" customFormat="false" ht="15" hidden="false" customHeight="fals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</row>
    <row r="99" customFormat="false" ht="15" hidden="false" customHeight="fals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customFormat="false" ht="15" hidden="false" customHeight="fals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</sheetData>
  <mergeCells count="103">
    <mergeCell ref="B5:C5"/>
    <mergeCell ref="E5:F5"/>
    <mergeCell ref="H5:I5"/>
    <mergeCell ref="K5:M5"/>
    <mergeCell ref="B6:C6"/>
    <mergeCell ref="E6:F6"/>
    <mergeCell ref="H6:I6"/>
    <mergeCell ref="K6:M6"/>
    <mergeCell ref="B9:D9"/>
    <mergeCell ref="E9:G9"/>
    <mergeCell ref="H9:J9"/>
    <mergeCell ref="K9:M9"/>
    <mergeCell ref="B10:D10"/>
    <mergeCell ref="E10:G10"/>
    <mergeCell ref="H10:J10"/>
    <mergeCell ref="K10:M10"/>
    <mergeCell ref="B11:D11"/>
    <mergeCell ref="E11:G11"/>
    <mergeCell ref="H11:J11"/>
    <mergeCell ref="K11:M11"/>
    <mergeCell ref="B13:D13"/>
    <mergeCell ref="E13:G13"/>
    <mergeCell ref="H13:J13"/>
    <mergeCell ref="K13:M13"/>
    <mergeCell ref="B14:D14"/>
    <mergeCell ref="E14:G14"/>
    <mergeCell ref="H14:J14"/>
    <mergeCell ref="K14:M14"/>
    <mergeCell ref="B15:D15"/>
    <mergeCell ref="E15:G15"/>
    <mergeCell ref="H15:J15"/>
    <mergeCell ref="K15:M15"/>
    <mergeCell ref="B17:M17"/>
    <mergeCell ref="B19:E19"/>
    <mergeCell ref="G19:M19"/>
    <mergeCell ref="B20:E20"/>
    <mergeCell ref="G20:M20"/>
    <mergeCell ref="B21:E21"/>
    <mergeCell ref="G21:M21"/>
    <mergeCell ref="B23:M23"/>
    <mergeCell ref="B42:M42"/>
    <mergeCell ref="B43:C43"/>
    <mergeCell ref="D43:F43"/>
    <mergeCell ref="I43:J43"/>
    <mergeCell ref="K43:L43"/>
    <mergeCell ref="B44:C44"/>
    <mergeCell ref="D44:F44"/>
    <mergeCell ref="I44:J44"/>
    <mergeCell ref="K44:L44"/>
    <mergeCell ref="B45:C45"/>
    <mergeCell ref="D45:F45"/>
    <mergeCell ref="I45:J45"/>
    <mergeCell ref="K45:L45"/>
    <mergeCell ref="B46:C46"/>
    <mergeCell ref="D46:F46"/>
    <mergeCell ref="I46:J46"/>
    <mergeCell ref="K46:L46"/>
    <mergeCell ref="B47:C47"/>
    <mergeCell ref="D47:F47"/>
    <mergeCell ref="I47:J47"/>
    <mergeCell ref="K47:L47"/>
    <mergeCell ref="B48:C48"/>
    <mergeCell ref="D48:F48"/>
    <mergeCell ref="I48:J48"/>
    <mergeCell ref="K48:L48"/>
    <mergeCell ref="B51:M51"/>
    <mergeCell ref="C52:D52"/>
    <mergeCell ref="G52:H52"/>
    <mergeCell ref="K52:L52"/>
    <mergeCell ref="C53:D53"/>
    <mergeCell ref="G53:H53"/>
    <mergeCell ref="K53:L53"/>
    <mergeCell ref="C54:D54"/>
    <mergeCell ref="G54:H54"/>
    <mergeCell ref="K54:L54"/>
    <mergeCell ref="C55:D55"/>
    <mergeCell ref="G55:H55"/>
    <mergeCell ref="K55:L55"/>
    <mergeCell ref="C56:D56"/>
    <mergeCell ref="G56:H56"/>
    <mergeCell ref="K56:L56"/>
    <mergeCell ref="C57:D57"/>
    <mergeCell ref="B59:M59"/>
    <mergeCell ref="B77:M77"/>
    <mergeCell ref="B78:C78"/>
    <mergeCell ref="D78:M78"/>
    <mergeCell ref="B79:C79"/>
    <mergeCell ref="D79:M79"/>
    <mergeCell ref="B80:C80"/>
    <mergeCell ref="D80:M80"/>
    <mergeCell ref="B81:C81"/>
    <mergeCell ref="D81:M81"/>
    <mergeCell ref="B82:C82"/>
    <mergeCell ref="D82:M82"/>
    <mergeCell ref="B83:C83"/>
    <mergeCell ref="D83:M83"/>
    <mergeCell ref="B84:C84"/>
    <mergeCell ref="D84:M84"/>
    <mergeCell ref="B85:C85"/>
    <mergeCell ref="D85:M85"/>
    <mergeCell ref="B86:C86"/>
    <mergeCell ref="D86:M86"/>
    <mergeCell ref="B88:M88"/>
  </mergeCells>
  <conditionalFormatting sqref="B17:M17">
    <cfRule type="expression" priority="2" aboveAverage="0" equalAverage="0" bottom="0" percent="0" rank="0" text="" dxfId="0">
      <formula>'Datos gráficos'!$C$33&gt;0</formula>
    </cfRule>
    <cfRule type="expression" priority="3" aboveAverage="0" equalAverage="0" bottom="0" percent="0" rank="0" text="" dxfId="1">
      <formula>'Datos gráficos'!$C$33=0</formula>
    </cfRule>
  </conditionalFormatting>
  <conditionalFormatting sqref="G19">
    <cfRule type="dataBar" priority="4">
      <dataBar showValue="0" minLength="10" maxLength="90">
        <cfvo type="num" val="0"/>
        <cfvo type="num" val="1"/>
        <color rgb="FF2F7D3E"/>
      </dataBar>
      <extLst>
        <ext xmlns:x14="http://schemas.microsoft.com/office/spreadsheetml/2009/9/main" uri="{B025F937-C7B1-47D3-B67F-A62EFF666E3E}">
          <x14:id>{C3907450-7EEB-4429-B84B-C8909E7EF268}</x14:id>
        </ext>
      </extLst>
    </cfRule>
  </conditionalFormatting>
  <conditionalFormatting sqref="G20">
    <cfRule type="dataBar" priority="5">
      <dataBar showValue="0" minLength="10" maxLength="90">
        <cfvo type="num" val="0"/>
        <cfvo type="num" val="1"/>
        <color rgb="FF0E6F78"/>
      </dataBar>
      <extLst>
        <ext xmlns:x14="http://schemas.microsoft.com/office/spreadsheetml/2009/9/main" uri="{B025F937-C7B1-47D3-B67F-A62EFF666E3E}">
          <x14:id>{37A51CE9-F7DD-4E6C-B7FE-C88F60AA2D93}</x14:id>
        </ext>
      </extLst>
    </cfRule>
  </conditionalFormatting>
  <conditionalFormatting sqref="G21">
    <cfRule type="dataBar" priority="6">
      <dataBar showValue="0" minLength="10" maxLength="90">
        <cfvo type="num" val="0"/>
        <cfvo type="num" val="1"/>
        <color rgb="FF8A5A00"/>
      </dataBar>
      <extLst>
        <ext xmlns:x14="http://schemas.microsoft.com/office/spreadsheetml/2009/9/main" uri="{B025F937-C7B1-47D3-B67F-A62EFF666E3E}">
          <x14:id>{ED93F0B8-B1A2-4B19-9F88-CC7A7940EB6F}</x14:id>
        </ext>
      </extLst>
    </cfRule>
  </conditionalFormatting>
  <conditionalFormatting sqref="I44:J48">
    <cfRule type="expression" priority="7" aboveAverage="0" equalAverage="0" bottom="0" percent="0" rank="0" text="" dxfId="2">
      <formula>I44="Vencido"</formula>
    </cfRule>
    <cfRule type="expression" priority="8" aboveAverage="0" equalAverage="0" bottom="0" percent="0" rank="0" text="" dxfId="0">
      <formula>I44="Pronto a vencer"</formula>
    </cfRule>
    <cfRule type="expression" priority="9" aboveAverage="0" equalAverage="0" bottom="0" percent="0" rank="0" text="" dxfId="3">
      <formula>I44="Por entregar"</formula>
    </cfRule>
    <cfRule type="expression" priority="10" aboveAverage="0" equalAverage="0" bottom="0" percent="0" rank="0" text="" dxfId="1">
      <formula>I44="Entregado"</formula>
    </cfRule>
    <cfRule type="expression" priority="11" aboveAverage="0" equalAverage="0" bottom="0" percent="0" rank="0" text="" dxfId="1">
      <formula>I44="Desembolsado"</formula>
    </cfRule>
    <cfRule type="expression" priority="12" aboveAverage="0" equalAverage="0" bottom="0" percent="0" rank="0" text="" dxfId="3">
      <formula>I44="Por tramitar"</formula>
    </cfRule>
    <cfRule type="expression" priority="13" aboveAverage="0" equalAverage="0" bottom="0" percent="0" rank="0" text="" dxfId="4">
      <formula>I44="Pendiente de producto"</formula>
    </cfRule>
    <cfRule type="expression" priority="14" aboveAverage="0" equalAverage="0" bottom="0" percent="0" rank="0" text="" dxfId="1">
      <formula>I44="Resuelta"</formula>
    </cfRule>
    <cfRule type="expression" priority="15" aboveAverage="0" equalAverage="0" bottom="0" percent="0" rank="0" text="" dxfId="2">
      <formula>I44="Pendiente"</formula>
    </cfRule>
    <cfRule type="expression" priority="16" aboveAverage="0" equalAverage="0" bottom="0" percent="0" rank="0" text="" dxfId="0">
      <formula>I44="En consulta"</formula>
    </cfRule>
  </conditionalFormatting>
  <conditionalFormatting sqref="H44:H48">
    <cfRule type="expression" priority="17" aboveAverage="0" equalAverage="0" bottom="0" percent="0" rank="0" text="" dxfId="5">
      <formula>AND(ISNUMBER(H44),H44&lt;0,I44&lt;&gt;"Entregado")</formula>
    </cfRule>
  </conditionalFormatting>
  <conditionalFormatting sqref="K53:L56">
    <cfRule type="expression" priority="18" aboveAverage="0" equalAverage="0" bottom="0" percent="0" rank="0" text="" dxfId="2">
      <formula>K53="Vencido"</formula>
    </cfRule>
    <cfRule type="expression" priority="19" aboveAverage="0" equalAverage="0" bottom="0" percent="0" rank="0" text="" dxfId="0">
      <formula>K53="Pronto a vencer"</formula>
    </cfRule>
    <cfRule type="expression" priority="20" aboveAverage="0" equalAverage="0" bottom="0" percent="0" rank="0" text="" dxfId="3">
      <formula>K53="Por entregar"</formula>
    </cfRule>
    <cfRule type="expression" priority="21" aboveAverage="0" equalAverage="0" bottom="0" percent="0" rank="0" text="" dxfId="1">
      <formula>K53="Entregado"</formula>
    </cfRule>
    <cfRule type="expression" priority="22" aboveAverage="0" equalAverage="0" bottom="0" percent="0" rank="0" text="" dxfId="1">
      <formula>K53="Desembolsado"</formula>
    </cfRule>
    <cfRule type="expression" priority="23" aboveAverage="0" equalAverage="0" bottom="0" percent="0" rank="0" text="" dxfId="3">
      <formula>K53="Por tramitar"</formula>
    </cfRule>
    <cfRule type="expression" priority="24" aboveAverage="0" equalAverage="0" bottom="0" percent="0" rank="0" text="" dxfId="4">
      <formula>K53="Pendiente de producto"</formula>
    </cfRule>
    <cfRule type="expression" priority="25" aboveAverage="0" equalAverage="0" bottom="0" percent="0" rank="0" text="" dxfId="1">
      <formula>K53="Resuelta"</formula>
    </cfRule>
    <cfRule type="expression" priority="26" aboveAverage="0" equalAverage="0" bottom="0" percent="0" rank="0" text="" dxfId="2">
      <formula>K53="Pendiente"</formula>
    </cfRule>
    <cfRule type="expression" priority="27" aboveAverage="0" equalAverage="0" bottom="0" percent="0" rank="0" text="" dxfId="0">
      <formula>K53="En consulta"</formula>
    </cfRule>
  </conditionalFormatting>
  <conditionalFormatting sqref="J53:J56">
    <cfRule type="cellIs" priority="28" operator="greaterThan" aboveAverage="0" equalAverage="0" bottom="0" percent="0" rank="0" text="" dxfId="5">
      <formula>0</formula>
    </cfRule>
  </conditionalFormatting>
  <conditionalFormatting sqref="D81">
    <cfRule type="expression" priority="29" aboveAverage="0" equalAverage="0" bottom="0" percent="0" rank="0" text="" dxfId="2">
      <formula>D81="Vencido"</formula>
    </cfRule>
    <cfRule type="expression" priority="30" aboveAverage="0" equalAverage="0" bottom="0" percent="0" rank="0" text="" dxfId="0">
      <formula>D81="Pronto a vencer"</formula>
    </cfRule>
    <cfRule type="expression" priority="31" aboveAverage="0" equalAverage="0" bottom="0" percent="0" rank="0" text="" dxfId="3">
      <formula>D81="Por entregar"</formula>
    </cfRule>
    <cfRule type="expression" priority="32" aboveAverage="0" equalAverage="0" bottom="0" percent="0" rank="0" text="" dxfId="1">
      <formula>D81="Entregado"</formula>
    </cfRule>
    <cfRule type="expression" priority="33" aboveAverage="0" equalAverage="0" bottom="0" percent="0" rank="0" text="" dxfId="1">
      <formula>D81="Desembolsado"</formula>
    </cfRule>
    <cfRule type="expression" priority="34" aboveAverage="0" equalAverage="0" bottom="0" percent="0" rank="0" text="" dxfId="3">
      <formula>D81="Por tramitar"</formula>
    </cfRule>
    <cfRule type="expression" priority="35" aboveAverage="0" equalAverage="0" bottom="0" percent="0" rank="0" text="" dxfId="4">
      <formula>D81="Pendiente de producto"</formula>
    </cfRule>
    <cfRule type="expression" priority="36" aboveAverage="0" equalAverage="0" bottom="0" percent="0" rank="0" text="" dxfId="1">
      <formula>D81="Resuelta"</formula>
    </cfRule>
    <cfRule type="expression" priority="37" aboveAverage="0" equalAverage="0" bottom="0" percent="0" rank="0" text="" dxfId="2">
      <formula>D81="Pendiente"</formula>
    </cfRule>
    <cfRule type="expression" priority="38" aboveAverage="0" equalAverage="0" bottom="0" percent="0" rank="0" text="" dxfId="0">
      <formula>D81="En consulta"</formula>
    </cfRule>
  </conditionalFormatting>
  <dataValidations count="4">
    <dataValidation allowBlank="true" error="Ingresa una fecha válida o deja vacío para usar hoy." errorStyle="stop" operator="greaterThan" showDropDown="false" showErrorMessage="true" showInputMessage="false" sqref="B6" type="date">
      <formula1>40000</formula1>
      <formula2>0</formula2>
    </dataValidation>
    <dataValidation allowBlank="false" error="Elige 15, 30, 45 o 60." errorStyle="stop" operator="between" showDropDown="false" showErrorMessage="true" showInputMessage="false" sqref="E6" type="list">
      <formula1>Parámetros!$J$5:$J$8</formula1>
      <formula2>0</formula2>
    </dataValidation>
    <dataValidation allowBlank="false" error="Elige un estado de la lista." errorStyle="stop" operator="between" showDropDown="false" showErrorMessage="true" showInputMessage="false" sqref="H6" type="list">
      <formula1>Parámetros!$F$5:$F$9</formula1>
      <formula2>0</formula2>
    </dataValidation>
    <dataValidation allowBlank="false" error="Elige un producto de la lista." errorStyle="stop" operator="between" showDropDown="false" showErrorMessage="true" showInputMessage="false" sqref="K6" type="list">
      <formula1>Entregables!$D$5:$D$9</formula1>
      <formula2>0</formula2>
    </dataValidation>
  </dataValidation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907450-7EEB-4429-B84B-C8909E7EF268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2F7D3E"/>
              <x14:axisColor rgb="FF000000"/>
            </x14:dataBar>
          </x14:cfRule>
          <xm:sqref>G19</xm:sqref>
        </x14:conditionalFormatting>
        <x14:conditionalFormatting xmlns:xm="http://schemas.microsoft.com/office/excel/2006/main">
          <x14:cfRule type="dataBar" id="{37A51CE9-F7DD-4E6C-B7FE-C88F60AA2D93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0E6F78"/>
              <x14:axisColor rgb="FF000000"/>
            </x14:dataBar>
          </x14:cfRule>
          <xm:sqref>G20</xm:sqref>
        </x14:conditionalFormatting>
        <x14:conditionalFormatting xmlns:xm="http://schemas.microsoft.com/office/excel/2006/main">
          <x14:cfRule type="dataBar" id="{ED93F0B8-B1A2-4B19-9F88-CC7A7940EB6F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8A5A00"/>
              <x14:axisColor rgb="FF000000"/>
            </x14:dataBar>
          </x14:cfRule>
          <xm:sqref>G21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6F78"/>
    <pageSetUpPr fitToPage="true"/>
  </sheetPr>
  <dimension ref="A2:T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6" min="6" style="0" width="9"/>
    <col collapsed="false" customWidth="true" hidden="false" outlineLevel="0" max="8" min="7" style="0" width="12"/>
    <col collapsed="false" customWidth="true" hidden="false" outlineLevel="0" max="9" min="9" style="0" width="8"/>
    <col collapsed="false" customWidth="true" hidden="false" outlineLevel="0" max="10" min="10" style="0" width="10"/>
    <col collapsed="false" customWidth="true" hidden="false" outlineLevel="0" max="12" min="11" style="0" width="11"/>
    <col collapsed="false" customWidth="true" hidden="false" outlineLevel="0" max="13" min="13" style="0" width="12"/>
    <col collapsed="false" customWidth="true" hidden="false" outlineLevel="0" max="14" min="14" style="0" width="10"/>
    <col collapsed="false" customWidth="true" hidden="false" outlineLevel="0" max="15" min="15" style="0" width="15"/>
    <col collapsed="false" customWidth="true" hidden="false" outlineLevel="0" max="16" min="16" style="0" width="26"/>
    <col collapsed="false" customWidth="true" hidden="false" outlineLevel="0" max="17" min="17" style="0" width="30"/>
    <col collapsed="false" customWidth="true" hidden="false" outlineLevel="0" max="18" min="18" style="0" width="70"/>
    <col collapsed="false" customWidth="true" hidden="false" outlineLevel="0" max="20" min="19" style="0" width="9"/>
  </cols>
  <sheetData>
    <row r="2" customFormat="false" ht="22.05" hidden="false" customHeight="false" outlineLevel="0" collapsed="false">
      <c r="B2" s="46" t="s">
        <v>49</v>
      </c>
    </row>
    <row r="3" customFormat="false" ht="15" hidden="false" customHeight="false" outlineLevel="0" collapsed="false">
      <c r="B3" s="47" t="s">
        <v>50</v>
      </c>
      <c r="L3" s="48" t="s">
        <v>51</v>
      </c>
    </row>
    <row r="4" customFormat="false" ht="31.5" hidden="false" customHeight="true" outlineLevel="0" collapsed="false">
      <c r="A4" s="49" t="s">
        <v>52</v>
      </c>
      <c r="B4" s="49" t="s">
        <v>22</v>
      </c>
      <c r="C4" s="49" t="s">
        <v>53</v>
      </c>
      <c r="D4" s="49" t="s">
        <v>54</v>
      </c>
      <c r="E4" s="49" t="s">
        <v>23</v>
      </c>
      <c r="F4" s="49" t="s">
        <v>55</v>
      </c>
      <c r="G4" s="49" t="s">
        <v>56</v>
      </c>
      <c r="H4" s="49" t="s">
        <v>24</v>
      </c>
      <c r="I4" s="49" t="s">
        <v>57</v>
      </c>
      <c r="J4" s="49" t="s">
        <v>58</v>
      </c>
      <c r="K4" s="49" t="s">
        <v>28</v>
      </c>
      <c r="L4" s="49" t="s">
        <v>59</v>
      </c>
      <c r="M4" s="49" t="s">
        <v>60</v>
      </c>
      <c r="N4" s="49" t="s">
        <v>25</v>
      </c>
      <c r="O4" s="49" t="s">
        <v>26</v>
      </c>
      <c r="P4" s="49" t="s">
        <v>27</v>
      </c>
      <c r="Q4" s="49" t="s">
        <v>61</v>
      </c>
      <c r="R4" s="49" t="s">
        <v>47</v>
      </c>
      <c r="S4" s="49" t="s">
        <v>62</v>
      </c>
      <c r="T4" s="49" t="s">
        <v>63</v>
      </c>
    </row>
    <row r="5" customFormat="false" ht="36" hidden="false" customHeight="true" outlineLevel="0" collapsed="false">
      <c r="A5" s="50" t="s">
        <v>64</v>
      </c>
      <c r="B5" s="50" t="s">
        <v>65</v>
      </c>
      <c r="C5" s="50"/>
      <c r="D5" s="51" t="str">
        <f aca="false">B5&amp;IF(C5="",""," · "&amp;C5)</f>
        <v>Producto 1</v>
      </c>
      <c r="E5" s="50" t="s">
        <v>66</v>
      </c>
      <c r="F5" s="52" t="n">
        <v>65</v>
      </c>
      <c r="G5" s="53" t="n">
        <f aca="false">Inicio</f>
        <v>45946</v>
      </c>
      <c r="H5" s="53" t="n">
        <f aca="false">Inicio+F5</f>
        <v>46011</v>
      </c>
      <c r="I5" s="50" t="n">
        <v>0</v>
      </c>
      <c r="J5" s="54" t="n">
        <v>0.3</v>
      </c>
      <c r="K5" s="50" t="s">
        <v>67</v>
      </c>
      <c r="L5" s="52" t="s">
        <v>68</v>
      </c>
      <c r="M5" s="55" t="n">
        <v>45991</v>
      </c>
      <c r="N5" s="56" t="n">
        <f aca="false">H5-FechaRef</f>
        <v>-298</v>
      </c>
      <c r="O5" s="50" t="str">
        <f aca="false">IF(L5="Sí","Entregado",IF(N5&lt;0,"Vencido",IF(N5&lt;=DiasAviso,"Pronto a vencer","Por entregar")))</f>
        <v>Entregado</v>
      </c>
      <c r="P5" s="50" t="str">
        <f aca="false">IF(O5="Entregado",IF(M5&lt;&gt;"","Presentado el "&amp;RIGHT("0"&amp;DAY(M5),2)&amp;"/"&amp;RIGHT("0"&amp;MONTH(M5),2)&amp;"/"&amp;YEAR(M5),"Marcado como entregado"),IF(N5&lt;0,"Venció hace "&amp;-N5&amp;IF(N5=-1," día"," días"),IF(N5=0,"Vence hoy","Vence en "&amp;N5&amp;IF(N5=1," día"," días"))))</f>
        <v>Presentado el 30/11/2025</v>
      </c>
      <c r="Q5" s="50" t="s">
        <v>69</v>
      </c>
      <c r="R5" s="50" t="s">
        <v>70</v>
      </c>
      <c r="S5" s="57" t="b">
        <f aca="false">OR(FiltroEstado="Todos",O5=FiltroEstado)</f>
        <v>1</v>
      </c>
      <c r="T5" s="58" t="n">
        <f aca="false">IF(S5,COUNTIF($S$5:S5,TRUE()),"")</f>
        <v>1</v>
      </c>
    </row>
    <row r="6" customFormat="false" ht="54" hidden="false" customHeight="true" outlineLevel="0" collapsed="false">
      <c r="A6" s="50" t="s">
        <v>71</v>
      </c>
      <c r="B6" s="50" t="s">
        <v>72</v>
      </c>
      <c r="C6" s="50" t="s">
        <v>73</v>
      </c>
      <c r="D6" s="51" t="str">
        <f aca="false">B6&amp;IF(C6="",""," · "&amp;C6)</f>
        <v>Producto 2 · Parte I</v>
      </c>
      <c r="E6" s="50" t="s">
        <v>74</v>
      </c>
      <c r="F6" s="52" t="n">
        <v>196</v>
      </c>
      <c r="G6" s="53" t="n">
        <f aca="false">H5+1</f>
        <v>46012</v>
      </c>
      <c r="H6" s="53" t="n">
        <f aca="false">Inicio+F6</f>
        <v>46142</v>
      </c>
      <c r="I6" s="50" t="n">
        <f aca="false">F5+1</f>
        <v>66</v>
      </c>
      <c r="J6" s="54" t="n">
        <v>0.2</v>
      </c>
      <c r="K6" s="50" t="s">
        <v>75</v>
      </c>
      <c r="L6" s="52" t="s">
        <v>76</v>
      </c>
      <c r="M6" s="55"/>
      <c r="N6" s="56" t="n">
        <f aca="false">H6-FechaRef</f>
        <v>-167</v>
      </c>
      <c r="O6" s="50" t="str">
        <f aca="false">IF(L6="Sí","Entregado",IF(N6&lt;0,"Vencido",IF(N6&lt;=DiasAviso,"Pronto a vencer","Por entregar")))</f>
        <v>Vencido</v>
      </c>
      <c r="P6" s="50" t="str">
        <f aca="false">IF(O6="Entregado",IF(M6&lt;&gt;"","Presentado el "&amp;RIGHT("0"&amp;DAY(M6),2)&amp;"/"&amp;RIGHT("0"&amp;MONTH(M6),2)&amp;"/"&amp;YEAR(M6),"Marcado como entregado"),IF(N6&lt;0,"Venció hace "&amp;-N6&amp;IF(N6=-1," día"," días"),IF(N6=0,"Vence hoy","Vence en "&amp;N6&amp;IF(N6=1," día"," días"))))</f>
        <v>Venció hace 167 días</v>
      </c>
      <c r="Q6" s="50" t="s">
        <v>77</v>
      </c>
      <c r="R6" s="50" t="s">
        <v>78</v>
      </c>
      <c r="S6" s="57" t="b">
        <f aca="false">OR(FiltroEstado="Todos",O6=FiltroEstado)</f>
        <v>1</v>
      </c>
      <c r="T6" s="58" t="n">
        <f aca="false">IF(S6,COUNTIF($S$5:S6,TRUE()),"")</f>
        <v>2</v>
      </c>
    </row>
    <row r="7" customFormat="false" ht="54" hidden="false" customHeight="true" outlineLevel="0" collapsed="false">
      <c r="A7" s="50" t="s">
        <v>79</v>
      </c>
      <c r="B7" s="50" t="s">
        <v>72</v>
      </c>
      <c r="C7" s="50" t="s">
        <v>80</v>
      </c>
      <c r="D7" s="51" t="str">
        <f aca="false">B7&amp;IF(C7="",""," · "&amp;C7)</f>
        <v>Producto 2 · Parte II</v>
      </c>
      <c r="E7" s="50" t="s">
        <v>81</v>
      </c>
      <c r="F7" s="52" t="n">
        <v>257</v>
      </c>
      <c r="G7" s="53" t="n">
        <f aca="false">H6+1</f>
        <v>46143</v>
      </c>
      <c r="H7" s="53" t="n">
        <f aca="false">Inicio+F7</f>
        <v>46203</v>
      </c>
      <c r="I7" s="50" t="n">
        <f aca="false">F6+1</f>
        <v>197</v>
      </c>
      <c r="J7" s="54" t="n">
        <v>0.15</v>
      </c>
      <c r="K7" s="50" t="s">
        <v>75</v>
      </c>
      <c r="L7" s="52" t="s">
        <v>76</v>
      </c>
      <c r="M7" s="55"/>
      <c r="N7" s="56" t="n">
        <f aca="false">H7-FechaRef</f>
        <v>-106</v>
      </c>
      <c r="O7" s="50" t="str">
        <f aca="false">IF(L7="Sí","Entregado",IF(N7&lt;0,"Vencido",IF(N7&lt;=DiasAviso,"Pronto a vencer","Por entregar")))</f>
        <v>Vencido</v>
      </c>
      <c r="P7" s="50" t="str">
        <f aca="false">IF(O7="Entregado",IF(M7&lt;&gt;"","Presentado el "&amp;RIGHT("0"&amp;DAY(M7),2)&amp;"/"&amp;RIGHT("0"&amp;MONTH(M7),2)&amp;"/"&amp;YEAR(M7),"Marcado como entregado"),IF(N7&lt;0,"Venció hace "&amp;-N7&amp;IF(N7=-1," día"," días"),IF(N7=0,"Vence hoy","Vence en "&amp;N7&amp;IF(N7=1," día"," días"))))</f>
        <v>Venció hace 106 días</v>
      </c>
      <c r="Q7" s="50" t="s">
        <v>82</v>
      </c>
      <c r="R7" s="50" t="s">
        <v>83</v>
      </c>
      <c r="S7" s="57" t="b">
        <f aca="false">OR(FiltroEstado="Todos",O7=FiltroEstado)</f>
        <v>1</v>
      </c>
      <c r="T7" s="58" t="n">
        <f aca="false">IF(S7,COUNTIF($S$5:S7,TRUE()),"")</f>
        <v>3</v>
      </c>
    </row>
    <row r="8" customFormat="false" ht="72" hidden="false" customHeight="true" outlineLevel="0" collapsed="false">
      <c r="A8" s="50" t="s">
        <v>84</v>
      </c>
      <c r="B8" s="50" t="s">
        <v>85</v>
      </c>
      <c r="C8" s="50"/>
      <c r="D8" s="51" t="str">
        <f aca="false">B8&amp;IF(C8="",""," · "&amp;C8)</f>
        <v>Producto 3</v>
      </c>
      <c r="E8" s="50" t="s">
        <v>86</v>
      </c>
      <c r="F8" s="52" t="n">
        <v>428</v>
      </c>
      <c r="G8" s="53" t="n">
        <f aca="false">H7+1</f>
        <v>46204</v>
      </c>
      <c r="H8" s="53" t="n">
        <f aca="false">Inicio+F8</f>
        <v>46374</v>
      </c>
      <c r="I8" s="50" t="n">
        <f aca="false">F7+1</f>
        <v>258</v>
      </c>
      <c r="J8" s="54" t="n">
        <v>0.2</v>
      </c>
      <c r="K8" s="50" t="s">
        <v>87</v>
      </c>
      <c r="L8" s="52" t="s">
        <v>76</v>
      </c>
      <c r="M8" s="55"/>
      <c r="N8" s="56" t="n">
        <f aca="false">H8-FechaRef</f>
        <v>65</v>
      </c>
      <c r="O8" s="50" t="str">
        <f aca="false">IF(L8="Sí","Entregado",IF(N8&lt;0,"Vencido",IF(N8&lt;=DiasAviso,"Pronto a vencer","Por entregar")))</f>
        <v>Por entregar</v>
      </c>
      <c r="P8" s="50" t="str">
        <f aca="false">IF(O8="Entregado",IF(M8&lt;&gt;"","Presentado el "&amp;RIGHT("0"&amp;DAY(M8),2)&amp;"/"&amp;RIGHT("0"&amp;MONTH(M8),2)&amp;"/"&amp;YEAR(M8),"Marcado como entregado"),IF(N8&lt;0,"Venció hace "&amp;-N8&amp;IF(N8=-1," día"," días"),IF(N8=0,"Vence hoy","Vence en "&amp;N8&amp;IF(N8=1," día"," días"))))</f>
        <v>Vence en 65 días</v>
      </c>
      <c r="Q8" s="50" t="s">
        <v>88</v>
      </c>
      <c r="R8" s="50" t="s">
        <v>89</v>
      </c>
      <c r="S8" s="57" t="b">
        <f aca="false">OR(FiltroEstado="Todos",O8=FiltroEstado)</f>
        <v>1</v>
      </c>
      <c r="T8" s="58" t="n">
        <f aca="false">IF(S8,COUNTIF($S$5:S8,TRUE()),"")</f>
        <v>4</v>
      </c>
    </row>
    <row r="9" customFormat="false" ht="108" hidden="false" customHeight="true" outlineLevel="0" collapsed="false">
      <c r="A9" s="50" t="s">
        <v>90</v>
      </c>
      <c r="B9" s="50" t="s">
        <v>91</v>
      </c>
      <c r="C9" s="50"/>
      <c r="D9" s="51" t="str">
        <f aca="false">B9&amp;IF(C9="",""," · "&amp;C9)</f>
        <v>Producto 4</v>
      </c>
      <c r="E9" s="50" t="s">
        <v>92</v>
      </c>
      <c r="F9" s="52" t="n">
        <v>561</v>
      </c>
      <c r="G9" s="53" t="n">
        <f aca="false">H8+1</f>
        <v>46375</v>
      </c>
      <c r="H9" s="53" t="n">
        <f aca="false">Inicio+F9</f>
        <v>46507</v>
      </c>
      <c r="I9" s="50" t="n">
        <f aca="false">F8+1</f>
        <v>429</v>
      </c>
      <c r="J9" s="54" t="n">
        <v>0.15</v>
      </c>
      <c r="K9" s="50" t="s">
        <v>93</v>
      </c>
      <c r="L9" s="52" t="s">
        <v>76</v>
      </c>
      <c r="M9" s="55"/>
      <c r="N9" s="56" t="n">
        <f aca="false">H9-FechaRef</f>
        <v>198</v>
      </c>
      <c r="O9" s="50" t="str">
        <f aca="false">IF(L9="Sí","Entregado",IF(N9&lt;0,"Vencido",IF(N9&lt;=DiasAviso,"Pronto a vencer","Por entregar")))</f>
        <v>Por entregar</v>
      </c>
      <c r="P9" s="50" t="str">
        <f aca="false">IF(O9="Entregado",IF(M9&lt;&gt;"","Presentado el "&amp;RIGHT("0"&amp;DAY(M9),2)&amp;"/"&amp;RIGHT("0"&amp;MONTH(M9),2)&amp;"/"&amp;YEAR(M9),"Marcado como entregado"),IF(N9&lt;0,"Venció hace "&amp;-N9&amp;IF(N9=-1," día"," días"),IF(N9=0,"Vence hoy","Vence en "&amp;N9&amp;IF(N9=1," día"," días"))))</f>
        <v>Vence en 198 días</v>
      </c>
      <c r="Q9" s="50" t="s">
        <v>94</v>
      </c>
      <c r="R9" s="50" t="s">
        <v>95</v>
      </c>
      <c r="S9" s="57" t="b">
        <f aca="false">OR(FiltroEstado="Todos",O9=FiltroEstado)</f>
        <v>1</v>
      </c>
      <c r="T9" s="58" t="n">
        <f aca="false">IF(S9,COUNTIF($S$5:S9,TRUE()),"")</f>
        <v>5</v>
      </c>
    </row>
    <row r="10" customFormat="false" ht="15" hidden="false" customHeight="false" outlineLevel="0" collapsed="false">
      <c r="E10" s="59" t="s">
        <v>96</v>
      </c>
      <c r="J10" s="60" t="n">
        <f aca="false">SUM(J5:J9)</f>
        <v>1</v>
      </c>
      <c r="L10" s="59" t="str">
        <f aca="false">COUNTIF(L5:L9,"Sí")&amp;" de "&amp;ROWS(L5:L9)</f>
        <v>1 de 5</v>
      </c>
    </row>
    <row r="12" customFormat="false" ht="15" hidden="false" customHeight="false" outlineLevel="0" collapsed="false">
      <c r="A12" s="61" t="s">
        <v>97</v>
      </c>
    </row>
  </sheetData>
  <autoFilter ref="A4:T9"/>
  <conditionalFormatting sqref="O5:O9">
    <cfRule type="expression" priority="2" aboveAverage="0" equalAverage="0" bottom="0" percent="0" rank="0" text="" dxfId="2">
      <formula>O5="Vencido"</formula>
    </cfRule>
    <cfRule type="expression" priority="3" aboveAverage="0" equalAverage="0" bottom="0" percent="0" rank="0" text="" dxfId="0">
      <formula>O5="Pronto a vencer"</formula>
    </cfRule>
    <cfRule type="expression" priority="4" aboveAverage="0" equalAverage="0" bottom="0" percent="0" rank="0" text="" dxfId="3">
      <formula>O5="Por entregar"</formula>
    </cfRule>
    <cfRule type="expression" priority="5" aboveAverage="0" equalAverage="0" bottom="0" percent="0" rank="0" text="" dxfId="1">
      <formula>O5="Entregado"</formula>
    </cfRule>
    <cfRule type="expression" priority="6" aboveAverage="0" equalAverage="0" bottom="0" percent="0" rank="0" text="" dxfId="1">
      <formula>O5="Desembolsado"</formula>
    </cfRule>
    <cfRule type="expression" priority="7" aboveAverage="0" equalAverage="0" bottom="0" percent="0" rank="0" text="" dxfId="3">
      <formula>O5="Por tramitar"</formula>
    </cfRule>
    <cfRule type="expression" priority="8" aboveAverage="0" equalAverage="0" bottom="0" percent="0" rank="0" text="" dxfId="4">
      <formula>O5="Pendiente de producto"</formula>
    </cfRule>
    <cfRule type="expression" priority="9" aboveAverage="0" equalAverage="0" bottom="0" percent="0" rank="0" text="" dxfId="1">
      <formula>O5="Resuelta"</formula>
    </cfRule>
    <cfRule type="expression" priority="10" aboveAverage="0" equalAverage="0" bottom="0" percent="0" rank="0" text="" dxfId="2">
      <formula>O5="Pendiente"</formula>
    </cfRule>
    <cfRule type="expression" priority="11" aboveAverage="0" equalAverage="0" bottom="0" percent="0" rank="0" text="" dxfId="0">
      <formula>O5="En consulta"</formula>
    </cfRule>
  </conditionalFormatting>
  <conditionalFormatting sqref="N5:N9">
    <cfRule type="expression" priority="12" aboveAverage="0" equalAverage="0" bottom="0" percent="0" rank="0" text="" dxfId="5">
      <formula>AND(N5&lt;0,O5&lt;&gt;"Entregado")</formula>
    </cfRule>
  </conditionalFormatting>
  <dataValidations count="2">
    <dataValidation allowBlank="false" error="Elige Sí o No." errorStyle="stop" errorTitle="Valor no válido" operator="between" showDropDown="false" showErrorMessage="true" showInputMessage="false" sqref="L5:L9" type="list">
      <formula1>Parámetros!$H$5:$H$6</formula1>
      <formula2>0</formula2>
    </dataValidation>
    <dataValidation allowBlank="true" error="Ingresa una fecha válida (dd/mm/aaaa)." errorStyle="stop" operator="greaterThan" showDropDown="false" showErrorMessage="true" showInputMessage="false" sqref="M5:M9" type="date">
      <formula1>40000</formula1>
      <formula2>0</formula2>
    </dataValidation>
  </dataValidation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7D3E"/>
    <pageSetUpPr fitToPage="true"/>
  </sheetPr>
  <dimension ref="A2:S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5" min="5" style="0" width="9"/>
    <col collapsed="false" customWidth="true" hidden="false" outlineLevel="0" max="6" min="6" style="0" width="14"/>
    <col collapsed="false" customWidth="true" hidden="false" outlineLevel="0" max="7" min="7" style="0" width="26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3" min="12" style="0" width="13"/>
    <col collapsed="false" customWidth="true" hidden="false" outlineLevel="0" max="14" min="14" style="0" width="20"/>
    <col collapsed="false" customWidth="true" hidden="false" outlineLevel="0" max="17" min="15" style="0" width="14"/>
    <col collapsed="false" customWidth="true" hidden="false" outlineLevel="0" max="18" min="18" style="0" width="50"/>
    <col collapsed="false" customWidth="true" hidden="false" outlineLevel="0" max="19" min="19" style="0" width="55"/>
  </cols>
  <sheetData>
    <row r="2" customFormat="false" ht="22.05" hidden="false" customHeight="false" outlineLevel="0" collapsed="false">
      <c r="B2" s="46" t="s">
        <v>98</v>
      </c>
    </row>
    <row r="3" customFormat="false" ht="15" hidden="false" customHeight="false" outlineLevel="0" collapsed="false">
      <c r="B3" s="47" t="s">
        <v>99</v>
      </c>
      <c r="L3" s="48" t="s">
        <v>51</v>
      </c>
    </row>
    <row r="4" customFormat="false" ht="31.5" hidden="false" customHeight="true" outlineLevel="0" collapsed="false">
      <c r="A4" s="49" t="s">
        <v>100</v>
      </c>
      <c r="B4" s="49" t="s">
        <v>101</v>
      </c>
      <c r="C4" s="49" t="s">
        <v>102</v>
      </c>
      <c r="D4" s="49" t="s">
        <v>103</v>
      </c>
      <c r="E4" s="49" t="s">
        <v>104</v>
      </c>
      <c r="F4" s="49" t="s">
        <v>32</v>
      </c>
      <c r="G4" s="49" t="s">
        <v>105</v>
      </c>
      <c r="H4" s="49" t="s">
        <v>106</v>
      </c>
      <c r="I4" s="49" t="s">
        <v>107</v>
      </c>
      <c r="J4" s="49" t="s">
        <v>108</v>
      </c>
      <c r="K4" s="49" t="s">
        <v>109</v>
      </c>
      <c r="L4" s="49" t="s">
        <v>110</v>
      </c>
      <c r="M4" s="49" t="s">
        <v>111</v>
      </c>
      <c r="N4" s="49" t="s">
        <v>26</v>
      </c>
      <c r="O4" s="49" t="s">
        <v>112</v>
      </c>
      <c r="P4" s="49" t="s">
        <v>113</v>
      </c>
      <c r="Q4" s="49" t="s">
        <v>114</v>
      </c>
      <c r="R4" s="49" t="s">
        <v>115</v>
      </c>
      <c r="S4" s="49" t="s">
        <v>116</v>
      </c>
    </row>
    <row r="5" customFormat="false" ht="57.75" hidden="false" customHeight="true" outlineLevel="0" collapsed="false">
      <c r="A5" s="51" t="s">
        <v>67</v>
      </c>
      <c r="B5" s="62" t="n">
        <v>141375</v>
      </c>
      <c r="C5" s="63" t="n">
        <f aca="false">B5/TotalCARE</f>
        <v>0.3</v>
      </c>
      <c r="D5" s="54" t="n">
        <v>0.3</v>
      </c>
      <c r="E5" s="52" t="n">
        <v>15</v>
      </c>
      <c r="F5" s="53" t="n">
        <f aca="false">IF(E5="","Al presentar P4",Inicio+E5)</f>
        <v>45961</v>
      </c>
      <c r="G5" s="50" t="s">
        <v>65</v>
      </c>
      <c r="H5" s="50" t="s">
        <v>64</v>
      </c>
      <c r="I5" s="53" t="n">
        <f aca="false">INDEX(Entregables!$H$5:$H$9,MATCH(H5,Entregables!$A$5:$A$9,0))</f>
        <v>46011</v>
      </c>
      <c r="J5" s="64" t="n">
        <f aca="false">IF(E5="",0,I5-F5)</f>
        <v>50</v>
      </c>
      <c r="K5" s="50" t="str">
        <f aca="false">IF(Entregables!L5="Sí","Sí","No")</f>
        <v>Sí</v>
      </c>
      <c r="L5" s="52" t="s">
        <v>76</v>
      </c>
      <c r="M5" s="55"/>
      <c r="N5" s="50" t="str">
        <f aca="false">IF(L5="Sí","Desembolsado",IF(K5="Sí","Por tramitar","Pendiente de producto"))</f>
        <v>Por tramitar</v>
      </c>
      <c r="O5" s="65" t="n">
        <f aca="false">IF(N5="Desembolsado",B5,0)</f>
        <v>0</v>
      </c>
      <c r="P5" s="65" t="n">
        <f aca="false">IF(N5="Por tramitar",B5,0)</f>
        <v>141375</v>
      </c>
      <c r="Q5" s="65" t="n">
        <f aca="false">IF(N5="Pendiente de producto",B5,0)</f>
        <v>0</v>
      </c>
      <c r="R5" s="50" t="str">
        <f aca="false">"No hay rendición previa: es el primer pago."</f>
        <v>No hay rendición previa: es el primer pago.</v>
      </c>
      <c r="S5" s="50" t="s">
        <v>117</v>
      </c>
    </row>
    <row r="6" customFormat="false" ht="57.75" hidden="false" customHeight="true" outlineLevel="0" collapsed="false">
      <c r="A6" s="51" t="s">
        <v>75</v>
      </c>
      <c r="B6" s="62" t="n">
        <v>141375</v>
      </c>
      <c r="C6" s="63" t="n">
        <f aca="false">B6/TotalCARE</f>
        <v>0.3</v>
      </c>
      <c r="D6" s="54" t="n">
        <v>0.3</v>
      </c>
      <c r="E6" s="52" t="n">
        <v>120</v>
      </c>
      <c r="F6" s="53" t="n">
        <f aca="false">IF(E6="","Al presentar P4",Inicio+E6)</f>
        <v>46066</v>
      </c>
      <c r="G6" s="50" t="s">
        <v>118</v>
      </c>
      <c r="H6" s="50" t="s">
        <v>79</v>
      </c>
      <c r="I6" s="53" t="n">
        <f aca="false">INDEX(Entregables!$H$5:$H$9,MATCH(H6,Entregables!$A$5:$A$9,0))</f>
        <v>46203</v>
      </c>
      <c r="J6" s="64" t="n">
        <f aca="false">IF(E6="",0,I6-F6)</f>
        <v>137</v>
      </c>
      <c r="K6" s="50" t="str">
        <f aca="false">IF(AND(Entregables!L6="Sí",Entregables!L7="Sí"),"Sí","No")</f>
        <v>No</v>
      </c>
      <c r="L6" s="52" t="s">
        <v>76</v>
      </c>
      <c r="M6" s="55"/>
      <c r="N6" s="50" t="str">
        <f aca="false">IF(L6="Sí","Desembolsado",IF(K6="Sí","Por tramitar","Pendiente de producto"))</f>
        <v>Pendiente de producto</v>
      </c>
      <c r="O6" s="65" t="n">
        <f aca="false">IF(N6="Desembolsado",B6,0)</f>
        <v>0</v>
      </c>
      <c r="P6" s="65" t="n">
        <f aca="false">IF(N6="Por tramitar",B6,0)</f>
        <v>0</v>
      </c>
      <c r="Q6" s="65" t="n">
        <f aca="false">IF(N6="Pendiente de producto",B6,0)</f>
        <v>141375</v>
      </c>
      <c r="R6" s="50" t="str">
        <f aca="false">"Rendir al menos el "&amp;TEXT(Rendicion*100,"0")&amp;" % del 1.er desembolso: S/ "&amp;FIXED(B5*Rendicion,2)&amp;"."</f>
        <v>Rendir al menos el 70 % del 1.er desembolso: S/ 98,962.50.</v>
      </c>
      <c r="S6" s="50" t="s">
        <v>119</v>
      </c>
    </row>
    <row r="7" customFormat="false" ht="57.75" hidden="false" customHeight="true" outlineLevel="0" collapsed="false">
      <c r="A7" s="51" t="s">
        <v>87</v>
      </c>
      <c r="B7" s="62" t="n">
        <v>117812</v>
      </c>
      <c r="C7" s="63" t="n">
        <f aca="false">B7/TotalCARE</f>
        <v>0.249998938992042</v>
      </c>
      <c r="D7" s="54" t="n">
        <v>0.25</v>
      </c>
      <c r="E7" s="52" t="n">
        <v>240</v>
      </c>
      <c r="F7" s="53" t="n">
        <f aca="false">IF(E7="","Al presentar P4",Inicio+E7)</f>
        <v>46186</v>
      </c>
      <c r="G7" s="50" t="s">
        <v>85</v>
      </c>
      <c r="H7" s="50" t="s">
        <v>84</v>
      </c>
      <c r="I7" s="53" t="n">
        <f aca="false">INDEX(Entregables!$H$5:$H$9,MATCH(H7,Entregables!$A$5:$A$9,0))</f>
        <v>46374</v>
      </c>
      <c r="J7" s="64" t="n">
        <f aca="false">IF(E7="",0,I7-F7)</f>
        <v>188</v>
      </c>
      <c r="K7" s="50" t="str">
        <f aca="false">IF(Entregables!L8="Sí","Sí","No")</f>
        <v>No</v>
      </c>
      <c r="L7" s="52" t="s">
        <v>76</v>
      </c>
      <c r="M7" s="55"/>
      <c r="N7" s="50" t="str">
        <f aca="false">IF(L7="Sí","Desembolsado",IF(K7="Sí","Por tramitar","Pendiente de producto"))</f>
        <v>Pendiente de producto</v>
      </c>
      <c r="O7" s="65" t="n">
        <f aca="false">IF(N7="Desembolsado",B7,0)</f>
        <v>0</v>
      </c>
      <c r="P7" s="65" t="n">
        <f aca="false">IF(N7="Por tramitar",B7,0)</f>
        <v>0</v>
      </c>
      <c r="Q7" s="65" t="n">
        <f aca="false">IF(N7="Pendiente de producto",B7,0)</f>
        <v>117812</v>
      </c>
      <c r="R7" s="50" t="str">
        <f aca="false">"Rendir el 30 % restante del 1.er desembolso (S/ "&amp;FIXED(B5*(1-Rendicion),2)&amp;") y al menos el 70 % del 2.º (S/ "&amp;FIXED(B6*Rendicion,2)&amp;")."</f>
        <v>Rendir el 30 % restante del 1.er desembolso (S/ 42,412.50) y al menos el 70 % del 2.º (S/ 98,962.50).</v>
      </c>
      <c r="S7" s="50" t="s">
        <v>120</v>
      </c>
    </row>
    <row r="8" customFormat="false" ht="57.75" hidden="false" customHeight="true" outlineLevel="0" collapsed="false">
      <c r="A8" s="51" t="s">
        <v>93</v>
      </c>
      <c r="B8" s="62" t="n">
        <v>70688</v>
      </c>
      <c r="C8" s="63" t="n">
        <f aca="false">B8/TotalCARE</f>
        <v>0.150001061007958</v>
      </c>
      <c r="D8" s="54" t="n">
        <v>0.15</v>
      </c>
      <c r="E8" s="52"/>
      <c r="F8" s="53" t="str">
        <f aca="false">IF(E8="","Al presentar P4",Inicio+E8)</f>
        <v>Al presentar P4</v>
      </c>
      <c r="G8" s="50" t="s">
        <v>91</v>
      </c>
      <c r="H8" s="50" t="s">
        <v>90</v>
      </c>
      <c r="I8" s="53" t="n">
        <f aca="false">INDEX(Entregables!$H$5:$H$9,MATCH(H8,Entregables!$A$5:$A$9,0))</f>
        <v>46507</v>
      </c>
      <c r="J8" s="64" t="n">
        <f aca="false">IF(E8="",0,I8-F8)</f>
        <v>0</v>
      </c>
      <c r="K8" s="50" t="str">
        <f aca="false">IF(Entregables!L9="Sí","Sí","No")</f>
        <v>No</v>
      </c>
      <c r="L8" s="52" t="s">
        <v>76</v>
      </c>
      <c r="M8" s="55"/>
      <c r="N8" s="50" t="str">
        <f aca="false">IF(L8="Sí","Desembolsado",IF(K8="Sí","Por tramitar","Pendiente de producto"))</f>
        <v>Pendiente de producto</v>
      </c>
      <c r="O8" s="65" t="n">
        <f aca="false">IF(N8="Desembolsado",B8,0)</f>
        <v>0</v>
      </c>
      <c r="P8" s="65" t="n">
        <f aca="false">IF(N8="Por tramitar",B8,0)</f>
        <v>0</v>
      </c>
      <c r="Q8" s="65" t="n">
        <f aca="false">IF(N8="Pendiente de producto",B8,0)</f>
        <v>70688</v>
      </c>
      <c r="R8" s="50" t="str">
        <f aca="false">"Rendir el 30 % restante del 2.º desembolso (S/ "&amp;FIXED(B6*(1-Rendicion),2)&amp;") y al menos el 70 % del 3.º (S/ "&amp;FIXED(B7*Rendicion,2)&amp;"). El saldo del 4.º se rinde a más tardar 10 días después del informe final."</f>
        <v>Rendir el 30 % restante del 2.º desembolso (S/ 42,412.50) y al menos el 70 % del 3.º (S/ 82,468.40). El saldo del 4.º se rinde a más tardar 10 días después del informe final.</v>
      </c>
      <c r="S8" s="50" t="s">
        <v>121</v>
      </c>
    </row>
    <row r="9" customFormat="false" ht="15" hidden="false" customHeight="false" outlineLevel="0" collapsed="false">
      <c r="A9" s="59" t="s">
        <v>37</v>
      </c>
      <c r="B9" s="66" t="n">
        <f aca="false">SUM(B5:B8)</f>
        <v>471250</v>
      </c>
      <c r="C9" s="67" t="n">
        <f aca="false">SUM(C5:C8)</f>
        <v>1</v>
      </c>
      <c r="D9" s="67" t="n">
        <f aca="false">SUM(D5:D8)</f>
        <v>1</v>
      </c>
      <c r="O9" s="66" t="n">
        <f aca="false">SUM(O5:O8)</f>
        <v>0</v>
      </c>
      <c r="P9" s="66" t="n">
        <f aca="false">SUM(P5:P8)</f>
        <v>141375</v>
      </c>
      <c r="Q9" s="66" t="n">
        <f aca="false">SUM(Q5:Q8)</f>
        <v>329875</v>
      </c>
    </row>
    <row r="10" customFormat="false" ht="15" hidden="false" customHeight="false" outlineLevel="0" collapsed="false">
      <c r="A10" s="61" t="str">
        <f aca="false">"Aparte, la UGP compra insumos y equipos por S/ "&amp;FIXED(Parámetros!C9,2)&amp;" que no se descuentan del convenio: tope total de Profonanpe S/ "&amp;FIXED(Parámetros!C10,2)&amp;"."</f>
        <v>Aparte, la UGP compra insumos y equipos por S/ 40,000.00 que no se descuentan del convenio: tope total de Profonanpe S/ 511,250.00.</v>
      </c>
    </row>
    <row r="11" customFormat="false" ht="15" hidden="false" customHeight="false" outlineLevel="0" collapsed="false">
      <c r="A11" s="61" t="s">
        <v>122</v>
      </c>
    </row>
  </sheetData>
  <conditionalFormatting sqref="N5:N8">
    <cfRule type="expression" priority="2" aboveAverage="0" equalAverage="0" bottom="0" percent="0" rank="0" text="" dxfId="2">
      <formula>N5="Vencido"</formula>
    </cfRule>
    <cfRule type="expression" priority="3" aboveAverage="0" equalAverage="0" bottom="0" percent="0" rank="0" text="" dxfId="0">
      <formula>N5="Pronto a vencer"</formula>
    </cfRule>
    <cfRule type="expression" priority="4" aboveAverage="0" equalAverage="0" bottom="0" percent="0" rank="0" text="" dxfId="3">
      <formula>N5="Por entregar"</formula>
    </cfRule>
    <cfRule type="expression" priority="5" aboveAverage="0" equalAverage="0" bottom="0" percent="0" rank="0" text="" dxfId="1">
      <formula>N5="Entregado"</formula>
    </cfRule>
    <cfRule type="expression" priority="6" aboveAverage="0" equalAverage="0" bottom="0" percent="0" rank="0" text="" dxfId="1">
      <formula>N5="Desembolsado"</formula>
    </cfRule>
    <cfRule type="expression" priority="7" aboveAverage="0" equalAverage="0" bottom="0" percent="0" rank="0" text="" dxfId="3">
      <formula>N5="Por tramitar"</formula>
    </cfRule>
    <cfRule type="expression" priority="8" aboveAverage="0" equalAverage="0" bottom="0" percent="0" rank="0" text="" dxfId="4">
      <formula>N5="Pendiente de producto"</formula>
    </cfRule>
    <cfRule type="expression" priority="9" aboveAverage="0" equalAverage="0" bottom="0" percent="0" rank="0" text="" dxfId="1">
      <formula>N5="Resuelta"</formula>
    </cfRule>
    <cfRule type="expression" priority="10" aboveAverage="0" equalAverage="0" bottom="0" percent="0" rank="0" text="" dxfId="2">
      <formula>N5="Pendiente"</formula>
    </cfRule>
    <cfRule type="expression" priority="11" aboveAverage="0" equalAverage="0" bottom="0" percent="0" rank="0" text="" dxfId="0">
      <formula>N5="En consulta"</formula>
    </cfRule>
  </conditionalFormatting>
  <conditionalFormatting sqref="J5:J8">
    <cfRule type="cellIs" priority="12" operator="greaterThan" aboveAverage="0" equalAverage="0" bottom="0" percent="0" rank="0" text="" dxfId="5">
      <formula>0</formula>
    </cfRule>
  </conditionalFormatting>
  <dataValidations count="2">
    <dataValidation allowBlank="false" error="Elige Sí o No." errorStyle="stop" operator="between" showDropDown="false" showErrorMessage="true" showInputMessage="false" sqref="L5:L8" type="list">
      <formula1>Parámetros!$H$5:$H$6</formula1>
      <formula2>0</formula2>
    </dataValidation>
    <dataValidation allowBlank="true" error="Ingresa una fecha válida." errorStyle="stop" operator="greaterThan" showDropDown="false" showErrorMessage="true" showInputMessage="false" sqref="M5:M8" type="date">
      <formula1>40000</formula1>
      <formula2>0</formula2>
    </dataValidation>
  </dataValidation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6F78"/>
    <pageSetUpPr fitToPage="true"/>
  </sheetPr>
  <dimension ref="B2:CS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7" topLeftCell="F8" activePane="bottomRight" state="frozen"/>
      <selection pane="topLeft" activeCell="A1" activeCellId="0" sqref="A1"/>
      <selection pane="topRight" activeCell="F1" activeCellId="0" sqref="F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4" min="3" style="0" width="11"/>
    <col collapsed="false" customWidth="true" hidden="false" outlineLevel="0" max="5" min="5" style="0" width="15"/>
    <col collapsed="false" customWidth="true" hidden="false" outlineLevel="0" max="97" min="6" style="0" width="2.6"/>
  </cols>
  <sheetData>
    <row r="2" customFormat="false" ht="22.05" hidden="false" customHeight="false" outlineLevel="0" collapsed="false">
      <c r="B2" s="46" t="s">
        <v>123</v>
      </c>
    </row>
    <row r="3" customFormat="false" ht="15" hidden="false" customHeight="false" outlineLevel="0" collapsed="false">
      <c r="B3" s="47" t="s">
        <v>124</v>
      </c>
    </row>
    <row r="5" customFormat="false" ht="15" hidden="false" customHeight="false" outlineLevel="0" collapsed="false">
      <c r="F5" s="68" t="n">
        <f aca="false">F6</f>
        <v>45943</v>
      </c>
      <c r="G5" s="68" t="str">
        <f aca="false">IF(DAY(G6)&lt;=7,G6,"")</f>
        <v/>
      </c>
      <c r="H5" s="68" t="str">
        <f aca="false">IF(DAY(H6)&lt;=7,H6,"")</f>
        <v/>
      </c>
      <c r="I5" s="68" t="n">
        <f aca="false">IF(DAY(I6)&lt;=7,I6,"")</f>
        <v>45964</v>
      </c>
      <c r="J5" s="68" t="str">
        <f aca="false">IF(DAY(J6)&lt;=7,J6,"")</f>
        <v/>
      </c>
      <c r="K5" s="68" t="str">
        <f aca="false">IF(DAY(K6)&lt;=7,K6,"")</f>
        <v/>
      </c>
      <c r="L5" s="68" t="str">
        <f aca="false">IF(DAY(L6)&lt;=7,L6,"")</f>
        <v/>
      </c>
      <c r="M5" s="68" t="n">
        <f aca="false">IF(DAY(M6)&lt;=7,M6,"")</f>
        <v>45992</v>
      </c>
      <c r="N5" s="68" t="str">
        <f aca="false">IF(DAY(N6)&lt;=7,N6,"")</f>
        <v/>
      </c>
      <c r="O5" s="68" t="str">
        <f aca="false">IF(DAY(O6)&lt;=7,O6,"")</f>
        <v/>
      </c>
      <c r="P5" s="68" t="str">
        <f aca="false">IF(DAY(P6)&lt;=7,P6,"")</f>
        <v/>
      </c>
      <c r="Q5" s="68" t="str">
        <f aca="false">IF(DAY(Q6)&lt;=7,Q6,"")</f>
        <v/>
      </c>
      <c r="R5" s="68" t="n">
        <f aca="false">IF(DAY(R6)&lt;=7,R6,"")</f>
        <v>46027</v>
      </c>
      <c r="S5" s="68" t="str">
        <f aca="false">IF(DAY(S6)&lt;=7,S6,"")</f>
        <v/>
      </c>
      <c r="T5" s="68" t="str">
        <f aca="false">IF(DAY(T6)&lt;=7,T6,"")</f>
        <v/>
      </c>
      <c r="U5" s="68" t="str">
        <f aca="false">IF(DAY(U6)&lt;=7,U6,"")</f>
        <v/>
      </c>
      <c r="V5" s="68" t="n">
        <f aca="false">IF(DAY(V6)&lt;=7,V6,"")</f>
        <v>46055</v>
      </c>
      <c r="W5" s="68" t="str">
        <f aca="false">IF(DAY(W6)&lt;=7,W6,"")</f>
        <v/>
      </c>
      <c r="X5" s="68" t="str">
        <f aca="false">IF(DAY(X6)&lt;=7,X6,"")</f>
        <v/>
      </c>
      <c r="Y5" s="68" t="str">
        <f aca="false">IF(DAY(Y6)&lt;=7,Y6,"")</f>
        <v/>
      </c>
      <c r="Z5" s="68" t="n">
        <f aca="false">IF(DAY(Z6)&lt;=7,Z6,"")</f>
        <v>46083</v>
      </c>
      <c r="AA5" s="68" t="str">
        <f aca="false">IF(DAY(AA6)&lt;=7,AA6,"")</f>
        <v/>
      </c>
      <c r="AB5" s="68" t="str">
        <f aca="false">IF(DAY(AB6)&lt;=7,AB6,"")</f>
        <v/>
      </c>
      <c r="AC5" s="68" t="str">
        <f aca="false">IF(DAY(AC6)&lt;=7,AC6,"")</f>
        <v/>
      </c>
      <c r="AD5" s="68" t="str">
        <f aca="false">IF(DAY(AD6)&lt;=7,AD6,"")</f>
        <v/>
      </c>
      <c r="AE5" s="68" t="n">
        <f aca="false">IF(DAY(AE6)&lt;=7,AE6,"")</f>
        <v>46118</v>
      </c>
      <c r="AF5" s="68" t="str">
        <f aca="false">IF(DAY(AF6)&lt;=7,AF6,"")</f>
        <v/>
      </c>
      <c r="AG5" s="68" t="str">
        <f aca="false">IF(DAY(AG6)&lt;=7,AG6,"")</f>
        <v/>
      </c>
      <c r="AH5" s="68" t="str">
        <f aca="false">IF(DAY(AH6)&lt;=7,AH6,"")</f>
        <v/>
      </c>
      <c r="AI5" s="68" t="n">
        <f aca="false">IF(DAY(AI6)&lt;=7,AI6,"")</f>
        <v>46146</v>
      </c>
      <c r="AJ5" s="68" t="str">
        <f aca="false">IF(DAY(AJ6)&lt;=7,AJ6,"")</f>
        <v/>
      </c>
      <c r="AK5" s="68" t="str">
        <f aca="false">IF(DAY(AK6)&lt;=7,AK6,"")</f>
        <v/>
      </c>
      <c r="AL5" s="68" t="str">
        <f aca="false">IF(DAY(AL6)&lt;=7,AL6,"")</f>
        <v/>
      </c>
      <c r="AM5" s="68" t="n">
        <f aca="false">IF(DAY(AM6)&lt;=7,AM6,"")</f>
        <v>46174</v>
      </c>
      <c r="AN5" s="68" t="str">
        <f aca="false">IF(DAY(AN6)&lt;=7,AN6,"")</f>
        <v/>
      </c>
      <c r="AO5" s="68" t="str">
        <f aca="false">IF(DAY(AO6)&lt;=7,AO6,"")</f>
        <v/>
      </c>
      <c r="AP5" s="68" t="str">
        <f aca="false">IF(DAY(AP6)&lt;=7,AP6,"")</f>
        <v/>
      </c>
      <c r="AQ5" s="68" t="str">
        <f aca="false">IF(DAY(AQ6)&lt;=7,AQ6,"")</f>
        <v/>
      </c>
      <c r="AR5" s="68" t="n">
        <f aca="false">IF(DAY(AR6)&lt;=7,AR6,"")</f>
        <v>46209</v>
      </c>
      <c r="AS5" s="68" t="str">
        <f aca="false">IF(DAY(AS6)&lt;=7,AS6,"")</f>
        <v/>
      </c>
      <c r="AT5" s="68" t="str">
        <f aca="false">IF(DAY(AT6)&lt;=7,AT6,"")</f>
        <v/>
      </c>
      <c r="AU5" s="68" t="str">
        <f aca="false">IF(DAY(AU6)&lt;=7,AU6,"")</f>
        <v/>
      </c>
      <c r="AV5" s="68" t="n">
        <f aca="false">IF(DAY(AV6)&lt;=7,AV6,"")</f>
        <v>46237</v>
      </c>
      <c r="AW5" s="68" t="str">
        <f aca="false">IF(DAY(AW6)&lt;=7,AW6,"")</f>
        <v/>
      </c>
      <c r="AX5" s="68" t="str">
        <f aca="false">IF(DAY(AX6)&lt;=7,AX6,"")</f>
        <v/>
      </c>
      <c r="AY5" s="68" t="str">
        <f aca="false">IF(DAY(AY6)&lt;=7,AY6,"")</f>
        <v/>
      </c>
      <c r="AZ5" s="68" t="str">
        <f aca="false">IF(DAY(AZ6)&lt;=7,AZ6,"")</f>
        <v/>
      </c>
      <c r="BA5" s="68" t="n">
        <f aca="false">IF(DAY(BA6)&lt;=7,BA6,"")</f>
        <v>46272</v>
      </c>
      <c r="BB5" s="68" t="str">
        <f aca="false">IF(DAY(BB6)&lt;=7,BB6,"")</f>
        <v/>
      </c>
      <c r="BC5" s="68" t="str">
        <f aca="false">IF(DAY(BC6)&lt;=7,BC6,"")</f>
        <v/>
      </c>
      <c r="BD5" s="68" t="str">
        <f aca="false">IF(DAY(BD6)&lt;=7,BD6,"")</f>
        <v/>
      </c>
      <c r="BE5" s="68" t="n">
        <f aca="false">IF(DAY(BE6)&lt;=7,BE6,"")</f>
        <v>46300</v>
      </c>
      <c r="BF5" s="68" t="str">
        <f aca="false">IF(DAY(BF6)&lt;=7,BF6,"")</f>
        <v/>
      </c>
      <c r="BG5" s="68" t="str">
        <f aca="false">IF(DAY(BG6)&lt;=7,BG6,"")</f>
        <v/>
      </c>
      <c r="BH5" s="68" t="str">
        <f aca="false">IF(DAY(BH6)&lt;=7,BH6,"")</f>
        <v/>
      </c>
      <c r="BI5" s="68" t="n">
        <f aca="false">IF(DAY(BI6)&lt;=7,BI6,"")</f>
        <v>46328</v>
      </c>
      <c r="BJ5" s="68" t="str">
        <f aca="false">IF(DAY(BJ6)&lt;=7,BJ6,"")</f>
        <v/>
      </c>
      <c r="BK5" s="68" t="str">
        <f aca="false">IF(DAY(BK6)&lt;=7,BK6,"")</f>
        <v/>
      </c>
      <c r="BL5" s="68" t="str">
        <f aca="false">IF(DAY(BL6)&lt;=7,BL6,"")</f>
        <v/>
      </c>
      <c r="BM5" s="68" t="str">
        <f aca="false">IF(DAY(BM6)&lt;=7,BM6,"")</f>
        <v/>
      </c>
      <c r="BN5" s="68" t="n">
        <f aca="false">IF(DAY(BN6)&lt;=7,BN6,"")</f>
        <v>46363</v>
      </c>
      <c r="BO5" s="68" t="str">
        <f aca="false">IF(DAY(BO6)&lt;=7,BO6,"")</f>
        <v/>
      </c>
      <c r="BP5" s="68" t="str">
        <f aca="false">IF(DAY(BP6)&lt;=7,BP6,"")</f>
        <v/>
      </c>
      <c r="BQ5" s="68" t="str">
        <f aca="false">IF(DAY(BQ6)&lt;=7,BQ6,"")</f>
        <v/>
      </c>
      <c r="BR5" s="68" t="n">
        <f aca="false">IF(DAY(BR6)&lt;=7,BR6,"")</f>
        <v>46391</v>
      </c>
      <c r="BS5" s="68" t="str">
        <f aca="false">IF(DAY(BS6)&lt;=7,BS6,"")</f>
        <v/>
      </c>
      <c r="BT5" s="68" t="str">
        <f aca="false">IF(DAY(BT6)&lt;=7,BT6,"")</f>
        <v/>
      </c>
      <c r="BU5" s="68" t="str">
        <f aca="false">IF(DAY(BU6)&lt;=7,BU6,"")</f>
        <v/>
      </c>
      <c r="BV5" s="68" t="n">
        <f aca="false">IF(DAY(BV6)&lt;=7,BV6,"")</f>
        <v>46419</v>
      </c>
      <c r="BW5" s="68" t="str">
        <f aca="false">IF(DAY(BW6)&lt;=7,BW6,"")</f>
        <v/>
      </c>
      <c r="BX5" s="68" t="str">
        <f aca="false">IF(DAY(BX6)&lt;=7,BX6,"")</f>
        <v/>
      </c>
      <c r="BY5" s="68" t="str">
        <f aca="false">IF(DAY(BY6)&lt;=7,BY6,"")</f>
        <v/>
      </c>
      <c r="BZ5" s="68" t="n">
        <f aca="false">IF(DAY(BZ6)&lt;=7,BZ6,"")</f>
        <v>46447</v>
      </c>
      <c r="CA5" s="68" t="str">
        <f aca="false">IF(DAY(CA6)&lt;=7,CA6,"")</f>
        <v/>
      </c>
      <c r="CB5" s="68" t="str">
        <f aca="false">IF(DAY(CB6)&lt;=7,CB6,"")</f>
        <v/>
      </c>
      <c r="CC5" s="68" t="str">
        <f aca="false">IF(DAY(CC6)&lt;=7,CC6,"")</f>
        <v/>
      </c>
      <c r="CD5" s="68" t="str">
        <f aca="false">IF(DAY(CD6)&lt;=7,CD6,"")</f>
        <v/>
      </c>
      <c r="CE5" s="68" t="n">
        <f aca="false">IF(DAY(CE6)&lt;=7,CE6,"")</f>
        <v>46482</v>
      </c>
      <c r="CF5" s="68" t="str">
        <f aca="false">IF(DAY(CF6)&lt;=7,CF6,"")</f>
        <v/>
      </c>
      <c r="CG5" s="68" t="str">
        <f aca="false">IF(DAY(CG6)&lt;=7,CG6,"")</f>
        <v/>
      </c>
      <c r="CH5" s="68" t="str">
        <f aca="false">IF(DAY(CH6)&lt;=7,CH6,"")</f>
        <v/>
      </c>
      <c r="CI5" s="68" t="n">
        <f aca="false">IF(DAY(CI6)&lt;=7,CI6,"")</f>
        <v>46510</v>
      </c>
      <c r="CJ5" s="68" t="str">
        <f aca="false">IF(DAY(CJ6)&lt;=7,CJ6,"")</f>
        <v/>
      </c>
      <c r="CK5" s="68" t="str">
        <f aca="false">IF(DAY(CK6)&lt;=7,CK6,"")</f>
        <v/>
      </c>
      <c r="CL5" s="68" t="str">
        <f aca="false">IF(DAY(CL6)&lt;=7,CL6,"")</f>
        <v/>
      </c>
      <c r="CM5" s="68" t="str">
        <f aca="false">IF(DAY(CM6)&lt;=7,CM6,"")</f>
        <v/>
      </c>
      <c r="CN5" s="68" t="n">
        <f aca="false">IF(DAY(CN6)&lt;=7,CN6,"")</f>
        <v>46545</v>
      </c>
      <c r="CO5" s="68" t="str">
        <f aca="false">IF(DAY(CO6)&lt;=7,CO6,"")</f>
        <v/>
      </c>
      <c r="CP5" s="68" t="str">
        <f aca="false">IF(DAY(CP6)&lt;=7,CP6,"")</f>
        <v/>
      </c>
      <c r="CQ5" s="68" t="str">
        <f aca="false">IF(DAY(CQ6)&lt;=7,CQ6,"")</f>
        <v/>
      </c>
      <c r="CR5" s="68" t="n">
        <f aca="false">IF(DAY(CR6)&lt;=7,CR6,"")</f>
        <v>46573</v>
      </c>
      <c r="CS5" s="68" t="str">
        <f aca="false">IF(DAY(CS6)&lt;=7,CS6,"")</f>
        <v/>
      </c>
    </row>
    <row r="6" customFormat="false" ht="21.75" hidden="false" customHeight="true" outlineLevel="0" collapsed="false">
      <c r="F6" s="69" t="n">
        <f aca="false">Inicio-WEEKDAY(Inicio,3)</f>
        <v>45943</v>
      </c>
      <c r="G6" s="69" t="n">
        <f aca="false">F6+7</f>
        <v>45950</v>
      </c>
      <c r="H6" s="69" t="n">
        <f aca="false">G6+7</f>
        <v>45957</v>
      </c>
      <c r="I6" s="69" t="n">
        <f aca="false">H6+7</f>
        <v>45964</v>
      </c>
      <c r="J6" s="69" t="n">
        <f aca="false">I6+7</f>
        <v>45971</v>
      </c>
      <c r="K6" s="69" t="n">
        <f aca="false">J6+7</f>
        <v>45978</v>
      </c>
      <c r="L6" s="69" t="n">
        <f aca="false">K6+7</f>
        <v>45985</v>
      </c>
      <c r="M6" s="69" t="n">
        <f aca="false">L6+7</f>
        <v>45992</v>
      </c>
      <c r="N6" s="69" t="n">
        <f aca="false">M6+7</f>
        <v>45999</v>
      </c>
      <c r="O6" s="69" t="n">
        <f aca="false">N6+7</f>
        <v>46006</v>
      </c>
      <c r="P6" s="69" t="n">
        <f aca="false">O6+7</f>
        <v>46013</v>
      </c>
      <c r="Q6" s="69" t="n">
        <f aca="false">P6+7</f>
        <v>46020</v>
      </c>
      <c r="R6" s="69" t="n">
        <f aca="false">Q6+7</f>
        <v>46027</v>
      </c>
      <c r="S6" s="69" t="n">
        <f aca="false">R6+7</f>
        <v>46034</v>
      </c>
      <c r="T6" s="69" t="n">
        <f aca="false">S6+7</f>
        <v>46041</v>
      </c>
      <c r="U6" s="69" t="n">
        <f aca="false">T6+7</f>
        <v>46048</v>
      </c>
      <c r="V6" s="69" t="n">
        <f aca="false">U6+7</f>
        <v>46055</v>
      </c>
      <c r="W6" s="69" t="n">
        <f aca="false">V6+7</f>
        <v>46062</v>
      </c>
      <c r="X6" s="69" t="n">
        <f aca="false">W6+7</f>
        <v>46069</v>
      </c>
      <c r="Y6" s="69" t="n">
        <f aca="false">X6+7</f>
        <v>46076</v>
      </c>
      <c r="Z6" s="69" t="n">
        <f aca="false">Y6+7</f>
        <v>46083</v>
      </c>
      <c r="AA6" s="69" t="n">
        <f aca="false">Z6+7</f>
        <v>46090</v>
      </c>
      <c r="AB6" s="69" t="n">
        <f aca="false">AA6+7</f>
        <v>46097</v>
      </c>
      <c r="AC6" s="69" t="n">
        <f aca="false">AB6+7</f>
        <v>46104</v>
      </c>
      <c r="AD6" s="69" t="n">
        <f aca="false">AC6+7</f>
        <v>46111</v>
      </c>
      <c r="AE6" s="69" t="n">
        <f aca="false">AD6+7</f>
        <v>46118</v>
      </c>
      <c r="AF6" s="69" t="n">
        <f aca="false">AE6+7</f>
        <v>46125</v>
      </c>
      <c r="AG6" s="69" t="n">
        <f aca="false">AF6+7</f>
        <v>46132</v>
      </c>
      <c r="AH6" s="69" t="n">
        <f aca="false">AG6+7</f>
        <v>46139</v>
      </c>
      <c r="AI6" s="69" t="n">
        <f aca="false">AH6+7</f>
        <v>46146</v>
      </c>
      <c r="AJ6" s="69" t="n">
        <f aca="false">AI6+7</f>
        <v>46153</v>
      </c>
      <c r="AK6" s="69" t="n">
        <f aca="false">AJ6+7</f>
        <v>46160</v>
      </c>
      <c r="AL6" s="69" t="n">
        <f aca="false">AK6+7</f>
        <v>46167</v>
      </c>
      <c r="AM6" s="69" t="n">
        <f aca="false">AL6+7</f>
        <v>46174</v>
      </c>
      <c r="AN6" s="69" t="n">
        <f aca="false">AM6+7</f>
        <v>46181</v>
      </c>
      <c r="AO6" s="69" t="n">
        <f aca="false">AN6+7</f>
        <v>46188</v>
      </c>
      <c r="AP6" s="69" t="n">
        <f aca="false">AO6+7</f>
        <v>46195</v>
      </c>
      <c r="AQ6" s="69" t="n">
        <f aca="false">AP6+7</f>
        <v>46202</v>
      </c>
      <c r="AR6" s="69" t="n">
        <f aca="false">AQ6+7</f>
        <v>46209</v>
      </c>
      <c r="AS6" s="69" t="n">
        <f aca="false">AR6+7</f>
        <v>46216</v>
      </c>
      <c r="AT6" s="69" t="n">
        <f aca="false">AS6+7</f>
        <v>46223</v>
      </c>
      <c r="AU6" s="69" t="n">
        <f aca="false">AT6+7</f>
        <v>46230</v>
      </c>
      <c r="AV6" s="69" t="n">
        <f aca="false">AU6+7</f>
        <v>46237</v>
      </c>
      <c r="AW6" s="69" t="n">
        <f aca="false">AV6+7</f>
        <v>46244</v>
      </c>
      <c r="AX6" s="69" t="n">
        <f aca="false">AW6+7</f>
        <v>46251</v>
      </c>
      <c r="AY6" s="69" t="n">
        <f aca="false">AX6+7</f>
        <v>46258</v>
      </c>
      <c r="AZ6" s="69" t="n">
        <f aca="false">AY6+7</f>
        <v>46265</v>
      </c>
      <c r="BA6" s="69" t="n">
        <f aca="false">AZ6+7</f>
        <v>46272</v>
      </c>
      <c r="BB6" s="69" t="n">
        <f aca="false">BA6+7</f>
        <v>46279</v>
      </c>
      <c r="BC6" s="69" t="n">
        <f aca="false">BB6+7</f>
        <v>46286</v>
      </c>
      <c r="BD6" s="69" t="n">
        <f aca="false">BC6+7</f>
        <v>46293</v>
      </c>
      <c r="BE6" s="69" t="n">
        <f aca="false">BD6+7</f>
        <v>46300</v>
      </c>
      <c r="BF6" s="69" t="n">
        <f aca="false">BE6+7</f>
        <v>46307</v>
      </c>
      <c r="BG6" s="69" t="n">
        <f aca="false">BF6+7</f>
        <v>46314</v>
      </c>
      <c r="BH6" s="69" t="n">
        <f aca="false">BG6+7</f>
        <v>46321</v>
      </c>
      <c r="BI6" s="69" t="n">
        <f aca="false">BH6+7</f>
        <v>46328</v>
      </c>
      <c r="BJ6" s="69" t="n">
        <f aca="false">BI6+7</f>
        <v>46335</v>
      </c>
      <c r="BK6" s="69" t="n">
        <f aca="false">BJ6+7</f>
        <v>46342</v>
      </c>
      <c r="BL6" s="69" t="n">
        <f aca="false">BK6+7</f>
        <v>46349</v>
      </c>
      <c r="BM6" s="69" t="n">
        <f aca="false">BL6+7</f>
        <v>46356</v>
      </c>
      <c r="BN6" s="69" t="n">
        <f aca="false">BM6+7</f>
        <v>46363</v>
      </c>
      <c r="BO6" s="69" t="n">
        <f aca="false">BN6+7</f>
        <v>46370</v>
      </c>
      <c r="BP6" s="69" t="n">
        <f aca="false">BO6+7</f>
        <v>46377</v>
      </c>
      <c r="BQ6" s="69" t="n">
        <f aca="false">BP6+7</f>
        <v>46384</v>
      </c>
      <c r="BR6" s="69" t="n">
        <f aca="false">BQ6+7</f>
        <v>46391</v>
      </c>
      <c r="BS6" s="69" t="n">
        <f aca="false">BR6+7</f>
        <v>46398</v>
      </c>
      <c r="BT6" s="69" t="n">
        <f aca="false">BS6+7</f>
        <v>46405</v>
      </c>
      <c r="BU6" s="69" t="n">
        <f aca="false">BT6+7</f>
        <v>46412</v>
      </c>
      <c r="BV6" s="69" t="n">
        <f aca="false">BU6+7</f>
        <v>46419</v>
      </c>
      <c r="BW6" s="69" t="n">
        <f aca="false">BV6+7</f>
        <v>46426</v>
      </c>
      <c r="BX6" s="69" t="n">
        <f aca="false">BW6+7</f>
        <v>46433</v>
      </c>
      <c r="BY6" s="69" t="n">
        <f aca="false">BX6+7</f>
        <v>46440</v>
      </c>
      <c r="BZ6" s="69" t="n">
        <f aca="false">BY6+7</f>
        <v>46447</v>
      </c>
      <c r="CA6" s="69" t="n">
        <f aca="false">BZ6+7</f>
        <v>46454</v>
      </c>
      <c r="CB6" s="69" t="n">
        <f aca="false">CA6+7</f>
        <v>46461</v>
      </c>
      <c r="CC6" s="69" t="n">
        <f aca="false">CB6+7</f>
        <v>46468</v>
      </c>
      <c r="CD6" s="69" t="n">
        <f aca="false">CC6+7</f>
        <v>46475</v>
      </c>
      <c r="CE6" s="69" t="n">
        <f aca="false">CD6+7</f>
        <v>46482</v>
      </c>
      <c r="CF6" s="69" t="n">
        <f aca="false">CE6+7</f>
        <v>46489</v>
      </c>
      <c r="CG6" s="69" t="n">
        <f aca="false">CF6+7</f>
        <v>46496</v>
      </c>
      <c r="CH6" s="69" t="n">
        <f aca="false">CG6+7</f>
        <v>46503</v>
      </c>
      <c r="CI6" s="69" t="n">
        <f aca="false">CH6+7</f>
        <v>46510</v>
      </c>
      <c r="CJ6" s="69" t="n">
        <f aca="false">CI6+7</f>
        <v>46517</v>
      </c>
      <c r="CK6" s="69" t="n">
        <f aca="false">CJ6+7</f>
        <v>46524</v>
      </c>
      <c r="CL6" s="69" t="n">
        <f aca="false">CK6+7</f>
        <v>46531</v>
      </c>
      <c r="CM6" s="69" t="n">
        <f aca="false">CL6+7</f>
        <v>46538</v>
      </c>
      <c r="CN6" s="69" t="n">
        <f aca="false">CM6+7</f>
        <v>46545</v>
      </c>
      <c r="CO6" s="69" t="n">
        <f aca="false">CN6+7</f>
        <v>46552</v>
      </c>
      <c r="CP6" s="69" t="n">
        <f aca="false">CO6+7</f>
        <v>46559</v>
      </c>
      <c r="CQ6" s="69" t="n">
        <f aca="false">CP6+7</f>
        <v>46566</v>
      </c>
      <c r="CR6" s="69" t="n">
        <f aca="false">CQ6+7</f>
        <v>46573</v>
      </c>
      <c r="CS6" s="69" t="n">
        <f aca="false">CR6+7</f>
        <v>46580</v>
      </c>
    </row>
    <row r="7" customFormat="false" ht="15" hidden="false" customHeight="false" outlineLevel="0" collapsed="false">
      <c r="B7" s="70" t="s">
        <v>22</v>
      </c>
      <c r="C7" s="70" t="s">
        <v>125</v>
      </c>
      <c r="D7" s="70" t="s">
        <v>126</v>
      </c>
      <c r="E7" s="70" t="s">
        <v>26</v>
      </c>
      <c r="F7" s="71" t="str">
        <f aca="false">IF(AND(FechaRef&gt;=F6,FechaRef&lt;F6+7),"▼","")</f>
        <v/>
      </c>
      <c r="G7" s="71" t="str">
        <f aca="false">IF(AND(FechaRef&gt;=G6,FechaRef&lt;G6+7),"▼","")</f>
        <v/>
      </c>
      <c r="H7" s="71" t="str">
        <f aca="false">IF(AND(FechaRef&gt;=H6,FechaRef&lt;H6+7),"▼","")</f>
        <v/>
      </c>
      <c r="I7" s="71" t="str">
        <f aca="false">IF(AND(FechaRef&gt;=I6,FechaRef&lt;I6+7),"▼","")</f>
        <v/>
      </c>
      <c r="J7" s="71" t="str">
        <f aca="false">IF(AND(FechaRef&gt;=J6,FechaRef&lt;J6+7),"▼","")</f>
        <v/>
      </c>
      <c r="K7" s="71" t="str">
        <f aca="false">IF(AND(FechaRef&gt;=K6,FechaRef&lt;K6+7),"▼","")</f>
        <v/>
      </c>
      <c r="L7" s="71" t="str">
        <f aca="false">IF(AND(FechaRef&gt;=L6,FechaRef&lt;L6+7),"▼","")</f>
        <v/>
      </c>
      <c r="M7" s="71" t="str">
        <f aca="false">IF(AND(FechaRef&gt;=M6,FechaRef&lt;M6+7),"▼","")</f>
        <v/>
      </c>
      <c r="N7" s="71" t="str">
        <f aca="false">IF(AND(FechaRef&gt;=N6,FechaRef&lt;N6+7),"▼","")</f>
        <v/>
      </c>
      <c r="O7" s="71" t="str">
        <f aca="false">IF(AND(FechaRef&gt;=O6,FechaRef&lt;O6+7),"▼","")</f>
        <v/>
      </c>
      <c r="P7" s="71" t="str">
        <f aca="false">IF(AND(FechaRef&gt;=P6,FechaRef&lt;P6+7),"▼","")</f>
        <v/>
      </c>
      <c r="Q7" s="71" t="str">
        <f aca="false">IF(AND(FechaRef&gt;=Q6,FechaRef&lt;Q6+7),"▼","")</f>
        <v/>
      </c>
      <c r="R7" s="71" t="str">
        <f aca="false">IF(AND(FechaRef&gt;=R6,FechaRef&lt;R6+7),"▼","")</f>
        <v/>
      </c>
      <c r="S7" s="71" t="str">
        <f aca="false">IF(AND(FechaRef&gt;=S6,FechaRef&lt;S6+7),"▼","")</f>
        <v/>
      </c>
      <c r="T7" s="71" t="str">
        <f aca="false">IF(AND(FechaRef&gt;=T6,FechaRef&lt;T6+7),"▼","")</f>
        <v/>
      </c>
      <c r="U7" s="71" t="str">
        <f aca="false">IF(AND(FechaRef&gt;=U6,FechaRef&lt;U6+7),"▼","")</f>
        <v/>
      </c>
      <c r="V7" s="71" t="str">
        <f aca="false">IF(AND(FechaRef&gt;=V6,FechaRef&lt;V6+7),"▼","")</f>
        <v/>
      </c>
      <c r="W7" s="71" t="str">
        <f aca="false">IF(AND(FechaRef&gt;=W6,FechaRef&lt;W6+7),"▼","")</f>
        <v/>
      </c>
      <c r="X7" s="71" t="str">
        <f aca="false">IF(AND(FechaRef&gt;=X6,FechaRef&lt;X6+7),"▼","")</f>
        <v/>
      </c>
      <c r="Y7" s="71" t="str">
        <f aca="false">IF(AND(FechaRef&gt;=Y6,FechaRef&lt;Y6+7),"▼","")</f>
        <v/>
      </c>
      <c r="Z7" s="71" t="str">
        <f aca="false">IF(AND(FechaRef&gt;=Z6,FechaRef&lt;Z6+7),"▼","")</f>
        <v/>
      </c>
      <c r="AA7" s="71" t="str">
        <f aca="false">IF(AND(FechaRef&gt;=AA6,FechaRef&lt;AA6+7),"▼","")</f>
        <v/>
      </c>
      <c r="AB7" s="71" t="str">
        <f aca="false">IF(AND(FechaRef&gt;=AB6,FechaRef&lt;AB6+7),"▼","")</f>
        <v/>
      </c>
      <c r="AC7" s="71" t="str">
        <f aca="false">IF(AND(FechaRef&gt;=AC6,FechaRef&lt;AC6+7),"▼","")</f>
        <v/>
      </c>
      <c r="AD7" s="71" t="str">
        <f aca="false">IF(AND(FechaRef&gt;=AD6,FechaRef&lt;AD6+7),"▼","")</f>
        <v/>
      </c>
      <c r="AE7" s="71" t="str">
        <f aca="false">IF(AND(FechaRef&gt;=AE6,FechaRef&lt;AE6+7),"▼","")</f>
        <v/>
      </c>
      <c r="AF7" s="71" t="str">
        <f aca="false">IF(AND(FechaRef&gt;=AF6,FechaRef&lt;AF6+7),"▼","")</f>
        <v/>
      </c>
      <c r="AG7" s="71" t="str">
        <f aca="false">IF(AND(FechaRef&gt;=AG6,FechaRef&lt;AG6+7),"▼","")</f>
        <v/>
      </c>
      <c r="AH7" s="71" t="str">
        <f aca="false">IF(AND(FechaRef&gt;=AH6,FechaRef&lt;AH6+7),"▼","")</f>
        <v/>
      </c>
      <c r="AI7" s="71" t="str">
        <f aca="false">IF(AND(FechaRef&gt;=AI6,FechaRef&lt;AI6+7),"▼","")</f>
        <v/>
      </c>
      <c r="AJ7" s="71" t="str">
        <f aca="false">IF(AND(FechaRef&gt;=AJ6,FechaRef&lt;AJ6+7),"▼","")</f>
        <v/>
      </c>
      <c r="AK7" s="71" t="str">
        <f aca="false">IF(AND(FechaRef&gt;=AK6,FechaRef&lt;AK6+7),"▼","")</f>
        <v/>
      </c>
      <c r="AL7" s="71" t="str">
        <f aca="false">IF(AND(FechaRef&gt;=AL6,FechaRef&lt;AL6+7),"▼","")</f>
        <v/>
      </c>
      <c r="AM7" s="71" t="str">
        <f aca="false">IF(AND(FechaRef&gt;=AM6,FechaRef&lt;AM6+7),"▼","")</f>
        <v/>
      </c>
      <c r="AN7" s="71" t="str">
        <f aca="false">IF(AND(FechaRef&gt;=AN6,FechaRef&lt;AN6+7),"▼","")</f>
        <v/>
      </c>
      <c r="AO7" s="71" t="str">
        <f aca="false">IF(AND(FechaRef&gt;=AO6,FechaRef&lt;AO6+7),"▼","")</f>
        <v/>
      </c>
      <c r="AP7" s="71" t="str">
        <f aca="false">IF(AND(FechaRef&gt;=AP6,FechaRef&lt;AP6+7),"▼","")</f>
        <v/>
      </c>
      <c r="AQ7" s="71" t="str">
        <f aca="false">IF(AND(FechaRef&gt;=AQ6,FechaRef&lt;AQ6+7),"▼","")</f>
        <v/>
      </c>
      <c r="AR7" s="71" t="str">
        <f aca="false">IF(AND(FechaRef&gt;=AR6,FechaRef&lt;AR6+7),"▼","")</f>
        <v/>
      </c>
      <c r="AS7" s="71" t="str">
        <f aca="false">IF(AND(FechaRef&gt;=AS6,FechaRef&lt;AS6+7),"▼","")</f>
        <v/>
      </c>
      <c r="AT7" s="71" t="str">
        <f aca="false">IF(AND(FechaRef&gt;=AT6,FechaRef&lt;AT6+7),"▼","")</f>
        <v/>
      </c>
      <c r="AU7" s="71" t="str">
        <f aca="false">IF(AND(FechaRef&gt;=AU6,FechaRef&lt;AU6+7),"▼","")</f>
        <v/>
      </c>
      <c r="AV7" s="71" t="str">
        <f aca="false">IF(AND(FechaRef&gt;=AV6,FechaRef&lt;AV6+7),"▼","")</f>
        <v/>
      </c>
      <c r="AW7" s="71" t="str">
        <f aca="false">IF(AND(FechaRef&gt;=AW6,FechaRef&lt;AW6+7),"▼","")</f>
        <v/>
      </c>
      <c r="AX7" s="71" t="str">
        <f aca="false">IF(AND(FechaRef&gt;=AX6,FechaRef&lt;AX6+7),"▼","")</f>
        <v/>
      </c>
      <c r="AY7" s="71" t="str">
        <f aca="false">IF(AND(FechaRef&gt;=AY6,FechaRef&lt;AY6+7),"▼","")</f>
        <v/>
      </c>
      <c r="AZ7" s="71" t="str">
        <f aca="false">IF(AND(FechaRef&gt;=AZ6,FechaRef&lt;AZ6+7),"▼","")</f>
        <v/>
      </c>
      <c r="BA7" s="71" t="str">
        <f aca="false">IF(AND(FechaRef&gt;=BA6,FechaRef&lt;BA6+7),"▼","")</f>
        <v/>
      </c>
      <c r="BB7" s="71" t="str">
        <f aca="false">IF(AND(FechaRef&gt;=BB6,FechaRef&lt;BB6+7),"▼","")</f>
        <v/>
      </c>
      <c r="BC7" s="71" t="str">
        <f aca="false">IF(AND(FechaRef&gt;=BC6,FechaRef&lt;BC6+7),"▼","")</f>
        <v/>
      </c>
      <c r="BD7" s="71" t="str">
        <f aca="false">IF(AND(FechaRef&gt;=BD6,FechaRef&lt;BD6+7),"▼","")</f>
        <v/>
      </c>
      <c r="BE7" s="71" t="str">
        <f aca="false">IF(AND(FechaRef&gt;=BE6,FechaRef&lt;BE6+7),"▼","")</f>
        <v/>
      </c>
      <c r="BF7" s="71" t="str">
        <f aca="false">IF(AND(FechaRef&gt;=BF6,FechaRef&lt;BF6+7),"▼","")</f>
        <v>▼</v>
      </c>
      <c r="BG7" s="71" t="str">
        <f aca="false">IF(AND(FechaRef&gt;=BG6,FechaRef&lt;BG6+7),"▼","")</f>
        <v/>
      </c>
      <c r="BH7" s="71" t="str">
        <f aca="false">IF(AND(FechaRef&gt;=BH6,FechaRef&lt;BH6+7),"▼","")</f>
        <v/>
      </c>
      <c r="BI7" s="71" t="str">
        <f aca="false">IF(AND(FechaRef&gt;=BI6,FechaRef&lt;BI6+7),"▼","")</f>
        <v/>
      </c>
      <c r="BJ7" s="71" t="str">
        <f aca="false">IF(AND(FechaRef&gt;=BJ6,FechaRef&lt;BJ6+7),"▼","")</f>
        <v/>
      </c>
      <c r="BK7" s="71" t="str">
        <f aca="false">IF(AND(FechaRef&gt;=BK6,FechaRef&lt;BK6+7),"▼","")</f>
        <v/>
      </c>
      <c r="BL7" s="71" t="str">
        <f aca="false">IF(AND(FechaRef&gt;=BL6,FechaRef&lt;BL6+7),"▼","")</f>
        <v/>
      </c>
      <c r="BM7" s="71" t="str">
        <f aca="false">IF(AND(FechaRef&gt;=BM6,FechaRef&lt;BM6+7),"▼","")</f>
        <v/>
      </c>
      <c r="BN7" s="71" t="str">
        <f aca="false">IF(AND(FechaRef&gt;=BN6,FechaRef&lt;BN6+7),"▼","")</f>
        <v/>
      </c>
      <c r="BO7" s="71" t="str">
        <f aca="false">IF(AND(FechaRef&gt;=BO6,FechaRef&lt;BO6+7),"▼","")</f>
        <v/>
      </c>
      <c r="BP7" s="71" t="str">
        <f aca="false">IF(AND(FechaRef&gt;=BP6,FechaRef&lt;BP6+7),"▼","")</f>
        <v/>
      </c>
      <c r="BQ7" s="71" t="str">
        <f aca="false">IF(AND(FechaRef&gt;=BQ6,FechaRef&lt;BQ6+7),"▼","")</f>
        <v/>
      </c>
      <c r="BR7" s="71" t="str">
        <f aca="false">IF(AND(FechaRef&gt;=BR6,FechaRef&lt;BR6+7),"▼","")</f>
        <v/>
      </c>
      <c r="BS7" s="71" t="str">
        <f aca="false">IF(AND(FechaRef&gt;=BS6,FechaRef&lt;BS6+7),"▼","")</f>
        <v/>
      </c>
      <c r="BT7" s="71" t="str">
        <f aca="false">IF(AND(FechaRef&gt;=BT6,FechaRef&lt;BT6+7),"▼","")</f>
        <v/>
      </c>
      <c r="BU7" s="71" t="str">
        <f aca="false">IF(AND(FechaRef&gt;=BU6,FechaRef&lt;BU6+7),"▼","")</f>
        <v/>
      </c>
      <c r="BV7" s="71" t="str">
        <f aca="false">IF(AND(FechaRef&gt;=BV6,FechaRef&lt;BV6+7),"▼","")</f>
        <v/>
      </c>
      <c r="BW7" s="71" t="str">
        <f aca="false">IF(AND(FechaRef&gt;=BW6,FechaRef&lt;BW6+7),"▼","")</f>
        <v/>
      </c>
      <c r="BX7" s="71" t="str">
        <f aca="false">IF(AND(FechaRef&gt;=BX6,FechaRef&lt;BX6+7),"▼","")</f>
        <v/>
      </c>
      <c r="BY7" s="71" t="str">
        <f aca="false">IF(AND(FechaRef&gt;=BY6,FechaRef&lt;BY6+7),"▼","")</f>
        <v/>
      </c>
      <c r="BZ7" s="71" t="str">
        <f aca="false">IF(AND(FechaRef&gt;=BZ6,FechaRef&lt;BZ6+7),"▼","")</f>
        <v/>
      </c>
      <c r="CA7" s="71" t="str">
        <f aca="false">IF(AND(FechaRef&gt;=CA6,FechaRef&lt;CA6+7),"▼","")</f>
        <v/>
      </c>
      <c r="CB7" s="71" t="str">
        <f aca="false">IF(AND(FechaRef&gt;=CB6,FechaRef&lt;CB6+7),"▼","")</f>
        <v/>
      </c>
      <c r="CC7" s="71" t="str">
        <f aca="false">IF(AND(FechaRef&gt;=CC6,FechaRef&lt;CC6+7),"▼","")</f>
        <v/>
      </c>
      <c r="CD7" s="71" t="str">
        <f aca="false">IF(AND(FechaRef&gt;=CD6,FechaRef&lt;CD6+7),"▼","")</f>
        <v/>
      </c>
      <c r="CE7" s="71" t="str">
        <f aca="false">IF(AND(FechaRef&gt;=CE6,FechaRef&lt;CE6+7),"▼","")</f>
        <v/>
      </c>
      <c r="CF7" s="71" t="str">
        <f aca="false">IF(AND(FechaRef&gt;=CF6,FechaRef&lt;CF6+7),"▼","")</f>
        <v/>
      </c>
      <c r="CG7" s="71" t="str">
        <f aca="false">IF(AND(FechaRef&gt;=CG6,FechaRef&lt;CG6+7),"▼","")</f>
        <v/>
      </c>
      <c r="CH7" s="71" t="str">
        <f aca="false">IF(AND(FechaRef&gt;=CH6,FechaRef&lt;CH6+7),"▼","")</f>
        <v/>
      </c>
      <c r="CI7" s="71" t="str">
        <f aca="false">IF(AND(FechaRef&gt;=CI6,FechaRef&lt;CI6+7),"▼","")</f>
        <v/>
      </c>
      <c r="CJ7" s="71" t="str">
        <f aca="false">IF(AND(FechaRef&gt;=CJ6,FechaRef&lt;CJ6+7),"▼","")</f>
        <v/>
      </c>
      <c r="CK7" s="71" t="str">
        <f aca="false">IF(AND(FechaRef&gt;=CK6,FechaRef&lt;CK6+7),"▼","")</f>
        <v/>
      </c>
      <c r="CL7" s="71" t="str">
        <f aca="false">IF(AND(FechaRef&gt;=CL6,FechaRef&lt;CL6+7),"▼","")</f>
        <v/>
      </c>
      <c r="CM7" s="71" t="str">
        <f aca="false">IF(AND(FechaRef&gt;=CM6,FechaRef&lt;CM6+7),"▼","")</f>
        <v/>
      </c>
      <c r="CN7" s="71" t="str">
        <f aca="false">IF(AND(FechaRef&gt;=CN6,FechaRef&lt;CN6+7),"▼","")</f>
        <v/>
      </c>
      <c r="CO7" s="71" t="str">
        <f aca="false">IF(AND(FechaRef&gt;=CO6,FechaRef&lt;CO6+7),"▼","")</f>
        <v/>
      </c>
      <c r="CP7" s="71" t="str">
        <f aca="false">IF(AND(FechaRef&gt;=CP6,FechaRef&lt;CP6+7),"▼","")</f>
        <v/>
      </c>
      <c r="CQ7" s="71" t="str">
        <f aca="false">IF(AND(FechaRef&gt;=CQ6,FechaRef&lt;CQ6+7),"▼","")</f>
        <v/>
      </c>
      <c r="CR7" s="71" t="str">
        <f aca="false">IF(AND(FechaRef&gt;=CR6,FechaRef&lt;CR6+7),"▼","")</f>
        <v/>
      </c>
      <c r="CS7" s="71" t="str">
        <f aca="false">IF(AND(FechaRef&gt;=CS6,FechaRef&lt;CS6+7),"▼","")</f>
        <v/>
      </c>
    </row>
    <row r="8" customFormat="false" ht="24" hidden="false" customHeight="true" outlineLevel="0" collapsed="false">
      <c r="B8" s="72" t="str">
        <f aca="false">Entregables!D5</f>
        <v>Producto 1</v>
      </c>
      <c r="C8" s="73" t="n">
        <f aca="false">Entregables!G5</f>
        <v>45946</v>
      </c>
      <c r="D8" s="73" t="n">
        <f aca="false">Entregables!H5</f>
        <v>46011</v>
      </c>
      <c r="E8" s="74" t="str">
        <f aca="false">Entregables!O5</f>
        <v>Entregado</v>
      </c>
      <c r="F8" s="75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  <c r="BP8" s="75"/>
      <c r="BQ8" s="75"/>
      <c r="BR8" s="75"/>
      <c r="BS8" s="75"/>
      <c r="BT8" s="75"/>
      <c r="BU8" s="75"/>
      <c r="BV8" s="75"/>
      <c r="BW8" s="75"/>
      <c r="BX8" s="75"/>
      <c r="BY8" s="75"/>
      <c r="BZ8" s="75"/>
      <c r="CA8" s="75"/>
      <c r="CB8" s="75"/>
      <c r="CC8" s="75"/>
      <c r="CD8" s="75"/>
      <c r="CE8" s="75"/>
      <c r="CF8" s="75"/>
      <c r="CG8" s="75"/>
      <c r="CH8" s="75"/>
      <c r="CI8" s="75"/>
      <c r="CJ8" s="75"/>
      <c r="CK8" s="75"/>
      <c r="CL8" s="75"/>
      <c r="CM8" s="75"/>
      <c r="CN8" s="75"/>
      <c r="CO8" s="75"/>
      <c r="CP8" s="75"/>
      <c r="CQ8" s="75"/>
      <c r="CR8" s="75"/>
      <c r="CS8" s="75"/>
    </row>
    <row r="9" customFormat="false" ht="24" hidden="false" customHeight="true" outlineLevel="0" collapsed="false">
      <c r="B9" s="72" t="str">
        <f aca="false">Entregables!D6</f>
        <v>Producto 2 · Parte I</v>
      </c>
      <c r="C9" s="73" t="n">
        <f aca="false">Entregables!G6</f>
        <v>46012</v>
      </c>
      <c r="D9" s="73" t="n">
        <f aca="false">Entregables!H6</f>
        <v>46142</v>
      </c>
      <c r="E9" s="74" t="str">
        <f aca="false">Entregables!O6</f>
        <v>Vencido</v>
      </c>
      <c r="F9" s="75"/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  <c r="BP9" s="75"/>
      <c r="BQ9" s="75"/>
      <c r="BR9" s="75"/>
      <c r="BS9" s="75"/>
      <c r="BT9" s="75"/>
      <c r="BU9" s="75"/>
      <c r="BV9" s="75"/>
      <c r="BW9" s="75"/>
      <c r="BX9" s="75"/>
      <c r="BY9" s="75"/>
      <c r="BZ9" s="75"/>
      <c r="CA9" s="75"/>
      <c r="CB9" s="75"/>
      <c r="CC9" s="75"/>
      <c r="CD9" s="75"/>
      <c r="CE9" s="75"/>
      <c r="CF9" s="75"/>
      <c r="CG9" s="75"/>
      <c r="CH9" s="75"/>
      <c r="CI9" s="75"/>
      <c r="CJ9" s="75"/>
      <c r="CK9" s="75"/>
      <c r="CL9" s="75"/>
      <c r="CM9" s="75"/>
      <c r="CN9" s="75"/>
      <c r="CO9" s="75"/>
      <c r="CP9" s="75"/>
      <c r="CQ9" s="75"/>
      <c r="CR9" s="75"/>
      <c r="CS9" s="75"/>
    </row>
    <row r="10" customFormat="false" ht="24" hidden="false" customHeight="true" outlineLevel="0" collapsed="false">
      <c r="B10" s="72" t="str">
        <f aca="false">Entregables!D7</f>
        <v>Producto 2 · Parte II</v>
      </c>
      <c r="C10" s="73" t="n">
        <f aca="false">Entregables!G7</f>
        <v>46143</v>
      </c>
      <c r="D10" s="73" t="n">
        <f aca="false">Entregables!H7</f>
        <v>46203</v>
      </c>
      <c r="E10" s="74" t="str">
        <f aca="false">Entregables!O7</f>
        <v>Vencido</v>
      </c>
      <c r="F10" s="75"/>
      <c r="G10" s="75"/>
      <c r="H10" s="75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  <c r="BP10" s="75"/>
      <c r="BQ10" s="75"/>
      <c r="BR10" s="75"/>
      <c r="BS10" s="75"/>
      <c r="BT10" s="75"/>
      <c r="BU10" s="75"/>
      <c r="BV10" s="75"/>
      <c r="BW10" s="75"/>
      <c r="BX10" s="75"/>
      <c r="BY10" s="75"/>
      <c r="BZ10" s="75"/>
      <c r="CA10" s="75"/>
      <c r="CB10" s="75"/>
      <c r="CC10" s="75"/>
      <c r="CD10" s="75"/>
      <c r="CE10" s="75"/>
      <c r="CF10" s="75"/>
      <c r="CG10" s="75"/>
      <c r="CH10" s="75"/>
      <c r="CI10" s="75"/>
      <c r="CJ10" s="75"/>
      <c r="CK10" s="75"/>
      <c r="CL10" s="75"/>
      <c r="CM10" s="75"/>
      <c r="CN10" s="75"/>
      <c r="CO10" s="75"/>
      <c r="CP10" s="75"/>
      <c r="CQ10" s="75"/>
      <c r="CR10" s="75"/>
      <c r="CS10" s="75"/>
    </row>
    <row r="11" customFormat="false" ht="24" hidden="false" customHeight="true" outlineLevel="0" collapsed="false">
      <c r="B11" s="72" t="str">
        <f aca="false">Entregables!D8</f>
        <v>Producto 3</v>
      </c>
      <c r="C11" s="73" t="n">
        <f aca="false">Entregables!G8</f>
        <v>46204</v>
      </c>
      <c r="D11" s="73" t="n">
        <f aca="false">Entregables!H8</f>
        <v>46374</v>
      </c>
      <c r="E11" s="74" t="str">
        <f aca="false">Entregables!O8</f>
        <v>Por entregar</v>
      </c>
      <c r="F11" s="75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  <c r="BP11" s="75"/>
      <c r="BQ11" s="75"/>
      <c r="BR11" s="75"/>
      <c r="BS11" s="75"/>
      <c r="BT11" s="75"/>
      <c r="BU11" s="75"/>
      <c r="BV11" s="75"/>
      <c r="BW11" s="75"/>
      <c r="BX11" s="75"/>
      <c r="BY11" s="75"/>
      <c r="BZ11" s="75"/>
      <c r="CA11" s="75"/>
      <c r="CB11" s="75"/>
      <c r="CC11" s="75"/>
      <c r="CD11" s="75"/>
      <c r="CE11" s="75"/>
      <c r="CF11" s="75"/>
      <c r="CG11" s="75"/>
      <c r="CH11" s="75"/>
      <c r="CI11" s="75"/>
      <c r="CJ11" s="75"/>
      <c r="CK11" s="75"/>
      <c r="CL11" s="75"/>
      <c r="CM11" s="75"/>
      <c r="CN11" s="75"/>
      <c r="CO11" s="75"/>
      <c r="CP11" s="75"/>
      <c r="CQ11" s="75"/>
      <c r="CR11" s="75"/>
      <c r="CS11" s="75"/>
    </row>
    <row r="12" customFormat="false" ht="24" hidden="false" customHeight="true" outlineLevel="0" collapsed="false">
      <c r="B12" s="72" t="str">
        <f aca="false">Entregables!D9</f>
        <v>Producto 4</v>
      </c>
      <c r="C12" s="73" t="n">
        <f aca="false">Entregables!G9</f>
        <v>46375</v>
      </c>
      <c r="D12" s="73" t="n">
        <f aca="false">Entregables!H9</f>
        <v>46507</v>
      </c>
      <c r="E12" s="74" t="str">
        <f aca="false">Entregables!O9</f>
        <v>Por entregar</v>
      </c>
      <c r="F12" s="75"/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  <c r="BP12" s="75"/>
      <c r="BQ12" s="75"/>
      <c r="BR12" s="75"/>
      <c r="BS12" s="75"/>
      <c r="BT12" s="75"/>
      <c r="BU12" s="75"/>
      <c r="BV12" s="75"/>
      <c r="BW12" s="75"/>
      <c r="BX12" s="75"/>
      <c r="BY12" s="75"/>
      <c r="BZ12" s="75"/>
      <c r="CA12" s="75"/>
      <c r="CB12" s="75"/>
      <c r="CC12" s="75"/>
      <c r="CD12" s="75"/>
      <c r="CE12" s="75"/>
      <c r="CF12" s="75"/>
      <c r="CG12" s="75"/>
      <c r="CH12" s="75"/>
      <c r="CI12" s="75"/>
      <c r="CJ12" s="75"/>
      <c r="CK12" s="75"/>
      <c r="CL12" s="75"/>
      <c r="CM12" s="75"/>
      <c r="CN12" s="75"/>
      <c r="CO12" s="75"/>
      <c r="CP12" s="75"/>
      <c r="CQ12" s="75"/>
      <c r="CR12" s="75"/>
      <c r="CS12" s="75"/>
    </row>
    <row r="13" customFormat="false" ht="24" hidden="false" customHeight="true" outlineLevel="0" collapsed="false">
      <c r="B13" s="72" t="s">
        <v>127</v>
      </c>
      <c r="C13" s="73" t="n">
        <f aca="false">Entregables!H9+1</f>
        <v>46508</v>
      </c>
      <c r="D13" s="73" t="n">
        <f aca="false">Cierre</f>
        <v>46535</v>
      </c>
      <c r="E13" s="74" t="s">
        <v>128</v>
      </c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  <c r="BP13" s="75"/>
      <c r="BQ13" s="75"/>
      <c r="BR13" s="75"/>
      <c r="BS13" s="75"/>
      <c r="BT13" s="75"/>
      <c r="BU13" s="75"/>
      <c r="BV13" s="75"/>
      <c r="BW13" s="75"/>
      <c r="BX13" s="75"/>
      <c r="BY13" s="75"/>
      <c r="BZ13" s="75"/>
      <c r="CA13" s="75"/>
      <c r="CB13" s="75"/>
      <c r="CC13" s="75"/>
      <c r="CD13" s="75"/>
      <c r="CE13" s="75"/>
      <c r="CF13" s="75"/>
      <c r="CG13" s="75"/>
      <c r="CH13" s="75"/>
      <c r="CI13" s="75"/>
      <c r="CJ13" s="75"/>
      <c r="CK13" s="75"/>
      <c r="CL13" s="75"/>
      <c r="CM13" s="75"/>
      <c r="CN13" s="75"/>
      <c r="CO13" s="75"/>
      <c r="CP13" s="75"/>
      <c r="CQ13" s="75"/>
      <c r="CR13" s="75"/>
      <c r="CS13" s="75"/>
    </row>
    <row r="14" customFormat="false" ht="15" hidden="false" customHeight="false" outlineLevel="0" collapsed="false">
      <c r="B14" s="59" t="s">
        <v>129</v>
      </c>
    </row>
    <row r="15" customFormat="false" ht="15" hidden="false" customHeight="false" outlineLevel="0" collapsed="false">
      <c r="B15" s="76"/>
      <c r="C15" s="77" t="s">
        <v>130</v>
      </c>
    </row>
    <row r="16" customFormat="false" ht="15" hidden="false" customHeight="false" outlineLevel="0" collapsed="false">
      <c r="B16" s="78"/>
      <c r="C16" s="77" t="s">
        <v>131</v>
      </c>
    </row>
    <row r="17" customFormat="false" ht="15" hidden="false" customHeight="false" outlineLevel="0" collapsed="false">
      <c r="B17" s="79"/>
      <c r="C17" s="77" t="s">
        <v>132</v>
      </c>
    </row>
    <row r="18" customFormat="false" ht="15" hidden="false" customHeight="false" outlineLevel="0" collapsed="false">
      <c r="B18" s="80"/>
      <c r="C18" s="77" t="s">
        <v>133</v>
      </c>
    </row>
    <row r="19" customFormat="false" ht="15" hidden="false" customHeight="false" outlineLevel="0" collapsed="false">
      <c r="B19" s="81"/>
      <c r="C19" s="77" t="s">
        <v>127</v>
      </c>
    </row>
    <row r="20" customFormat="false" ht="15" hidden="false" customHeight="false" outlineLevel="0" collapsed="false">
      <c r="B20" s="82"/>
      <c r="C20" s="77" t="s">
        <v>134</v>
      </c>
    </row>
  </sheetData>
  <conditionalFormatting sqref="F8:CS13">
    <cfRule type="expression" priority="2" aboveAverage="0" equalAverage="0" bottom="0" percent="0" rank="0" text="" dxfId="19">
      <formula>AND(AND(F$6+6&gt;=$C8,F$6&lt;=$D8),$E8="Vencido")</formula>
    </cfRule>
    <cfRule type="expression" priority="3" aboveAverage="0" equalAverage="0" bottom="0" percent="0" rank="0" text="" dxfId="20">
      <formula>AND(AND(F$6+6&gt;=$C8,F$6&lt;=$D8),$E8="Pronto a vencer")</formula>
    </cfRule>
    <cfRule type="expression" priority="4" aboveAverage="0" equalAverage="0" bottom="0" percent="0" rank="0" text="" dxfId="21">
      <formula>AND(AND(F$6+6&gt;=$C8,F$6&lt;=$D8),$E8="Por entregar")</formula>
    </cfRule>
    <cfRule type="expression" priority="5" aboveAverage="0" equalAverage="0" bottom="0" percent="0" rank="0" text="" dxfId="22">
      <formula>AND(AND(F$6+6&gt;=$C8,F$6&lt;=$D8),$E8="Entregado")</formula>
    </cfRule>
    <cfRule type="expression" priority="6" aboveAverage="0" equalAverage="0" bottom="0" percent="0" rank="0" text="" dxfId="23">
      <formula>AND(AND(F$6+6&gt;=$C8,F$6&lt;=$D8),$E8="Cierre")</formula>
    </cfRule>
    <cfRule type="expression" priority="7" aboveAverage="0" equalAverage="0" bottom="0" percent="0" rank="0" text="" dxfId="24">
      <formula>AND(FechaRef&gt;=F$6,FechaRef&lt;F$6+7)</formula>
    </cfRule>
  </conditionalFormatting>
  <conditionalFormatting sqref="E8:E13">
    <cfRule type="expression" priority="8" aboveAverage="0" equalAverage="0" bottom="0" percent="0" rank="0" text="" dxfId="2">
      <formula>E8="Vencido"</formula>
    </cfRule>
    <cfRule type="expression" priority="9" aboveAverage="0" equalAverage="0" bottom="0" percent="0" rank="0" text="" dxfId="0">
      <formula>E8="Pronto a vencer"</formula>
    </cfRule>
    <cfRule type="expression" priority="10" aboveAverage="0" equalAverage="0" bottom="0" percent="0" rank="0" text="" dxfId="3">
      <formula>E8="Por entregar"</formula>
    </cfRule>
    <cfRule type="expression" priority="11" aboveAverage="0" equalAverage="0" bottom="0" percent="0" rank="0" text="" dxfId="1">
      <formula>E8="Entregado"</formula>
    </cfRule>
    <cfRule type="expression" priority="12" aboveAverage="0" equalAverage="0" bottom="0" percent="0" rank="0" text="" dxfId="1">
      <formula>E8="Desembolsado"</formula>
    </cfRule>
    <cfRule type="expression" priority="13" aboveAverage="0" equalAverage="0" bottom="0" percent="0" rank="0" text="" dxfId="3">
      <formula>E8="Por tramitar"</formula>
    </cfRule>
    <cfRule type="expression" priority="14" aboveAverage="0" equalAverage="0" bottom="0" percent="0" rank="0" text="" dxfId="4">
      <formula>E8="Pendiente de producto"</formula>
    </cfRule>
    <cfRule type="expression" priority="15" aboveAverage="0" equalAverage="0" bottom="0" percent="0" rank="0" text="" dxfId="1">
      <formula>E8="Resuelta"</formula>
    </cfRule>
    <cfRule type="expression" priority="16" aboveAverage="0" equalAverage="0" bottom="0" percent="0" rank="0" text="" dxfId="2">
      <formula>E8="Pendiente"</formula>
    </cfRule>
    <cfRule type="expression" priority="17" aboveAverage="0" equalAverage="0" bottom="0" percent="0" rank="0" text="" dxfId="0">
      <formula>E8="En consulta"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5A00"/>
    <pageSetUpPr fitToPage="true"/>
  </sheetPr>
  <dimension ref="B2:H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0"/>
    <col collapsed="false" customWidth="true" hidden="false" outlineLevel="0" max="6" min="6" style="0" width="20"/>
    <col collapsed="false" customWidth="true" hidden="false" outlineLevel="0" max="7" min="7" style="0" width="16"/>
    <col collapsed="false" customWidth="true" hidden="false" outlineLevel="0" max="8" min="8" style="0" width="34"/>
  </cols>
  <sheetData>
    <row r="2" customFormat="false" ht="22.05" hidden="false" customHeight="false" outlineLevel="0" collapsed="false">
      <c r="B2" s="46" t="s">
        <v>135</v>
      </c>
    </row>
    <row r="3" customFormat="false" ht="15" hidden="false" customHeight="false" outlineLevel="0" collapsed="false">
      <c r="B3" s="47" t="s">
        <v>136</v>
      </c>
    </row>
    <row r="5" customFormat="false" ht="15" hidden="false" customHeight="false" outlineLevel="0" collapsed="false">
      <c r="B5" s="83" t="s">
        <v>137</v>
      </c>
    </row>
    <row r="6" customFormat="false" ht="15" hidden="false" customHeight="false" outlineLevel="0" collapsed="false">
      <c r="B6" s="49" t="s">
        <v>28</v>
      </c>
      <c r="C6" s="49" t="s">
        <v>101</v>
      </c>
      <c r="D6" s="49" t="s">
        <v>32</v>
      </c>
      <c r="E6" s="49" t="s">
        <v>138</v>
      </c>
      <c r="F6" s="49" t="s">
        <v>139</v>
      </c>
      <c r="G6" s="49" t="s">
        <v>108</v>
      </c>
      <c r="H6" s="49" t="s">
        <v>140</v>
      </c>
    </row>
    <row r="7" customFormat="false" ht="15" hidden="false" customHeight="false" outlineLevel="0" collapsed="false">
      <c r="B7" s="51" t="str">
        <f aca="false">"Desembolso "&amp;1</f>
        <v>Desembolso 1</v>
      </c>
      <c r="C7" s="65" t="n">
        <f aca="false">Desembolsos!B5</f>
        <v>141375</v>
      </c>
      <c r="D7" s="53" t="n">
        <f aca="false">Desembolsos!F5</f>
        <v>45961</v>
      </c>
      <c r="E7" s="50" t="str">
        <f aca="false">IF(Desembolsos!H5="P2-II","Producto 2 completo (Parte II)",Desembolsos!G5)</f>
        <v>Producto 1</v>
      </c>
      <c r="F7" s="53" t="n">
        <f aca="false">Desembolsos!I5</f>
        <v>46011</v>
      </c>
      <c r="G7" s="64" t="n">
        <f aca="false">Desembolsos!J5</f>
        <v>50</v>
      </c>
      <c r="H7" s="50"/>
    </row>
    <row r="8" customFormat="false" ht="15" hidden="false" customHeight="false" outlineLevel="0" collapsed="false">
      <c r="B8" s="51" t="str">
        <f aca="false">"Desembolso "&amp;2</f>
        <v>Desembolso 2</v>
      </c>
      <c r="C8" s="65" t="n">
        <f aca="false">Desembolsos!B6</f>
        <v>141375</v>
      </c>
      <c r="D8" s="53" t="n">
        <f aca="false">Desembolsos!F6</f>
        <v>46066</v>
      </c>
      <c r="E8" s="50" t="str">
        <f aca="false">IF(Desembolsos!H6="P2-II","Producto 2 completo (Parte II)",Desembolsos!G6)</f>
        <v>Producto 2 completo (Parte II)</v>
      </c>
      <c r="F8" s="53" t="n">
        <f aca="false">Desembolsos!I6</f>
        <v>46203</v>
      </c>
      <c r="G8" s="64" t="n">
        <f aca="false">Desembolsos!J6</f>
        <v>137</v>
      </c>
      <c r="H8" s="50" t="str">
        <f aca="false">"Con la Parte I ("&amp;RIGHT("0"&amp;DAY(Entregables!H6),2)&amp;"/"&amp;RIGHT("0"&amp;MONTH(Entregables!H6),2)&amp;"/"&amp;YEAR(Entregables!H6)&amp;"): +"&amp;(Entregables!H6-Desembolsos!F6)&amp;" días"</f>
        <v>Con la Parte I (30/04/2026): +76 días</v>
      </c>
    </row>
    <row r="9" customFormat="false" ht="15" hidden="false" customHeight="false" outlineLevel="0" collapsed="false">
      <c r="B9" s="51" t="str">
        <f aca="false">"Desembolso "&amp;3</f>
        <v>Desembolso 3</v>
      </c>
      <c r="C9" s="65" t="n">
        <f aca="false">Desembolsos!B7</f>
        <v>117812</v>
      </c>
      <c r="D9" s="53" t="n">
        <f aca="false">Desembolsos!F7</f>
        <v>46186</v>
      </c>
      <c r="E9" s="50" t="str">
        <f aca="false">IF(Desembolsos!H7="P2-II","Producto 2 completo (Parte II)",Desembolsos!G7)</f>
        <v>Producto 3</v>
      </c>
      <c r="F9" s="53" t="n">
        <f aca="false">Desembolsos!I7</f>
        <v>46374</v>
      </c>
      <c r="G9" s="64" t="n">
        <f aca="false">Desembolsos!J7</f>
        <v>188</v>
      </c>
      <c r="H9" s="50"/>
    </row>
    <row r="10" customFormat="false" ht="23.85" hidden="false" customHeight="false" outlineLevel="0" collapsed="false">
      <c r="B10" s="51" t="str">
        <f aca="false">"Desembolso "&amp;4</f>
        <v>Desembolso 4</v>
      </c>
      <c r="C10" s="65" t="n">
        <f aca="false">Desembolsos!B8</f>
        <v>70688</v>
      </c>
      <c r="D10" s="53" t="str">
        <f aca="false">Desembolsos!F8</f>
        <v>Al presentar P4</v>
      </c>
      <c r="E10" s="50" t="str">
        <f aca="false">IF(Desembolsos!H8="P2-II","Producto 2 completo (Parte II)",Desembolsos!G8)</f>
        <v>Producto 4</v>
      </c>
      <c r="F10" s="53" t="n">
        <f aca="false">Desembolsos!I8</f>
        <v>46507</v>
      </c>
      <c r="G10" s="64" t="n">
        <f aca="false">Desembolsos!J8</f>
        <v>0</v>
      </c>
      <c r="H10" s="50" t="str">
        <f aca="false">"Sin fecha fija: se paga al presentar el Producto 4."</f>
        <v>Sin fecha fija: se paga al presentar el Producto 4.</v>
      </c>
    </row>
    <row r="11" customFormat="false" ht="15" hidden="false" customHeight="false" outlineLevel="0" collapsed="false">
      <c r="B11" s="61" t="str">
        <f aca="false">"Las fechas de 9.1 quedan entre "&amp;_xlfn.MINIFS(G7:G10,G7:G10,"&gt;0")&amp;" y "&amp;MAX(G7:G10)&amp;" días antes de los entregables vigentes. Conviene actualizarlas por acta o adenda."</f>
        <v>Las fechas de 9.1 quedan entre 50 y 188 días antes de los entregables vigentes. Conviene actualizarlas por acta o adenda.</v>
      </c>
    </row>
    <row r="13" customFormat="false" ht="15" hidden="false" customHeight="false" outlineLevel="0" collapsed="false">
      <c r="B13" s="83" t="s">
        <v>141</v>
      </c>
    </row>
    <row r="14" customFormat="false" ht="23.85" hidden="false" customHeight="false" outlineLevel="0" collapsed="false">
      <c r="B14" s="49" t="s">
        <v>142</v>
      </c>
      <c r="C14" s="49" t="s">
        <v>143</v>
      </c>
      <c r="D14" s="49" t="s">
        <v>144</v>
      </c>
      <c r="E14" s="49" t="s">
        <v>145</v>
      </c>
      <c r="F14" s="49" t="s">
        <v>146</v>
      </c>
      <c r="G14" s="49" t="s">
        <v>147</v>
      </c>
      <c r="H14" s="49" t="s">
        <v>148</v>
      </c>
    </row>
    <row r="15" customFormat="false" ht="15" hidden="false" customHeight="false" outlineLevel="0" collapsed="false">
      <c r="B15" s="84" t="s">
        <v>65</v>
      </c>
      <c r="C15" s="85" t="n">
        <f aca="false">Desembolsos!D5</f>
        <v>0.3</v>
      </c>
      <c r="D15" s="85" t="n">
        <f aca="false">SUM($C$15:C15)</f>
        <v>0.3</v>
      </c>
      <c r="E15" s="85" t="n">
        <f aca="false">Entregables!J5</f>
        <v>0.3</v>
      </c>
      <c r="F15" s="85" t="n">
        <f aca="false">SUM($E$15:E15)</f>
        <v>0.3</v>
      </c>
      <c r="G15" s="86" t="n">
        <f aca="false">(E15-C15)*100</f>
        <v>0</v>
      </c>
      <c r="H15" s="87" t="n">
        <f aca="false">(E15-C15)*TotalCARE</f>
        <v>0</v>
      </c>
    </row>
    <row r="16" customFormat="false" ht="15" hidden="false" customHeight="false" outlineLevel="0" collapsed="false">
      <c r="B16" s="84" t="s">
        <v>149</v>
      </c>
      <c r="C16" s="85" t="n">
        <f aca="false">Desembolsos!D6</f>
        <v>0.3</v>
      </c>
      <c r="D16" s="85" t="n">
        <f aca="false">SUM($C$15:C16)</f>
        <v>0.6</v>
      </c>
      <c r="E16" s="85" t="n">
        <f aca="false">Entregables!J6+Entregables!J7</f>
        <v>0.35</v>
      </c>
      <c r="F16" s="85" t="n">
        <f aca="false">SUM($E$15:E16)</f>
        <v>0.65</v>
      </c>
      <c r="G16" s="86" t="n">
        <f aca="false">(E16-C16)*100</f>
        <v>5</v>
      </c>
      <c r="H16" s="87" t="n">
        <f aca="false">(E16-C16)*TotalCARE</f>
        <v>23562.5</v>
      </c>
    </row>
    <row r="17" customFormat="false" ht="15" hidden="false" customHeight="false" outlineLevel="0" collapsed="false">
      <c r="B17" s="84" t="s">
        <v>85</v>
      </c>
      <c r="C17" s="85" t="n">
        <f aca="false">Desembolsos!D7</f>
        <v>0.25</v>
      </c>
      <c r="D17" s="85" t="n">
        <f aca="false">SUM($C$15:C17)</f>
        <v>0.85</v>
      </c>
      <c r="E17" s="85" t="n">
        <f aca="false">Entregables!J8</f>
        <v>0.2</v>
      </c>
      <c r="F17" s="85" t="n">
        <f aca="false">SUM($E$15:E17)</f>
        <v>0.85</v>
      </c>
      <c r="G17" s="86" t="n">
        <f aca="false">(E17-C17)*100</f>
        <v>-5</v>
      </c>
      <c r="H17" s="87" t="n">
        <f aca="false">(E17-C17)*TotalCARE</f>
        <v>-23562.5</v>
      </c>
    </row>
    <row r="18" customFormat="false" ht="15" hidden="false" customHeight="false" outlineLevel="0" collapsed="false">
      <c r="B18" s="84" t="s">
        <v>91</v>
      </c>
      <c r="C18" s="85" t="n">
        <f aca="false">Desembolsos!D8</f>
        <v>0.15</v>
      </c>
      <c r="D18" s="85" t="n">
        <f aca="false">SUM($C$15:C18)</f>
        <v>1</v>
      </c>
      <c r="E18" s="85" t="n">
        <f aca="false">Entregables!J9</f>
        <v>0.15</v>
      </c>
      <c r="F18" s="85" t="n">
        <f aca="false">SUM($E$15:E18)</f>
        <v>1</v>
      </c>
      <c r="G18" s="86" t="n">
        <f aca="false">(E18-C18)*100</f>
        <v>0</v>
      </c>
      <c r="H18" s="87" t="n">
        <f aca="false">(E18-C18)*TotalCARE</f>
        <v>0</v>
      </c>
    </row>
    <row r="20" customFormat="false" ht="15" hidden="false" customHeight="false" outlineLevel="0" collapsed="false">
      <c r="B20" s="83" t="s">
        <v>150</v>
      </c>
    </row>
    <row r="21" customFormat="false" ht="23.85" hidden="false" customHeight="false" outlineLevel="0" collapsed="false">
      <c r="B21" s="49" t="s">
        <v>22</v>
      </c>
      <c r="C21" s="49" t="s">
        <v>151</v>
      </c>
      <c r="D21" s="49" t="s">
        <v>152</v>
      </c>
      <c r="E21" s="49" t="s">
        <v>153</v>
      </c>
      <c r="F21" s="49" t="s">
        <v>152</v>
      </c>
      <c r="G21" s="49" t="s">
        <v>154</v>
      </c>
      <c r="H21" s="49" t="s">
        <v>155</v>
      </c>
    </row>
    <row r="22" customFormat="false" ht="15" hidden="false" customHeight="false" outlineLevel="0" collapsed="false">
      <c r="B22" s="88" t="s">
        <v>65</v>
      </c>
      <c r="C22" s="89" t="n">
        <v>15</v>
      </c>
      <c r="D22" s="90" t="n">
        <f aca="false">Inicio+C22</f>
        <v>45961</v>
      </c>
      <c r="E22" s="89" t="n">
        <v>15</v>
      </c>
      <c r="F22" s="90" t="n">
        <f aca="false">Inicio+E22</f>
        <v>45961</v>
      </c>
      <c r="G22" s="84" t="n">
        <f aca="false">Entregables!F5</f>
        <v>65</v>
      </c>
      <c r="H22" s="90" t="n">
        <f aca="false">Inicio+G22</f>
        <v>46011</v>
      </c>
    </row>
    <row r="23" customFormat="false" ht="15" hidden="false" customHeight="false" outlineLevel="0" collapsed="false">
      <c r="B23" s="88" t="s">
        <v>156</v>
      </c>
      <c r="C23" s="89" t="n">
        <v>180</v>
      </c>
      <c r="D23" s="90" t="n">
        <f aca="false">Inicio+C23</f>
        <v>46126</v>
      </c>
      <c r="E23" s="89" t="n">
        <v>120</v>
      </c>
      <c r="F23" s="90" t="n">
        <f aca="false">Inicio+E23</f>
        <v>46066</v>
      </c>
      <c r="G23" s="84" t="n">
        <f aca="false">Entregables!F6</f>
        <v>196</v>
      </c>
      <c r="H23" s="90" t="n">
        <f aca="false">Inicio+G23</f>
        <v>46142</v>
      </c>
    </row>
    <row r="24" customFormat="false" ht="15" hidden="false" customHeight="false" outlineLevel="0" collapsed="false">
      <c r="B24" s="88" t="s">
        <v>8</v>
      </c>
      <c r="C24" s="89" t="n">
        <v>180</v>
      </c>
      <c r="D24" s="90" t="n">
        <f aca="false">Inicio+C24</f>
        <v>46126</v>
      </c>
      <c r="E24" s="89" t="n">
        <v>120</v>
      </c>
      <c r="F24" s="90" t="n">
        <f aca="false">Inicio+E24</f>
        <v>46066</v>
      </c>
      <c r="G24" s="84" t="n">
        <f aca="false">Entregables!F7</f>
        <v>257</v>
      </c>
      <c r="H24" s="90" t="n">
        <f aca="false">Inicio+G24</f>
        <v>46203</v>
      </c>
    </row>
    <row r="25" customFormat="false" ht="15" hidden="false" customHeight="false" outlineLevel="0" collapsed="false">
      <c r="B25" s="88" t="s">
        <v>85</v>
      </c>
      <c r="C25" s="89" t="n">
        <v>360</v>
      </c>
      <c r="D25" s="90" t="n">
        <f aca="false">Inicio+C25</f>
        <v>46306</v>
      </c>
      <c r="E25" s="89" t="n">
        <v>240</v>
      </c>
      <c r="F25" s="90" t="n">
        <f aca="false">Inicio+E25</f>
        <v>46186</v>
      </c>
      <c r="G25" s="84" t="n">
        <f aca="false">Entregables!F8</f>
        <v>428</v>
      </c>
      <c r="H25" s="90" t="n">
        <f aca="false">Inicio+G25</f>
        <v>46374</v>
      </c>
    </row>
    <row r="26" customFormat="false" ht="15" hidden="false" customHeight="false" outlineLevel="0" collapsed="false">
      <c r="B26" s="88" t="s">
        <v>91</v>
      </c>
      <c r="C26" s="89" t="n">
        <v>540</v>
      </c>
      <c r="D26" s="90" t="n">
        <f aca="false">Inicio+C26</f>
        <v>46486</v>
      </c>
      <c r="E26" s="89" t="n">
        <v>495</v>
      </c>
      <c r="F26" s="90" t="n">
        <f aca="false">Inicio+E26</f>
        <v>46441</v>
      </c>
      <c r="G26" s="84" t="n">
        <f aca="false">Entregables!F9</f>
        <v>561</v>
      </c>
      <c r="H26" s="90" t="n">
        <f aca="false">Inicio+G26</f>
        <v>46507</v>
      </c>
    </row>
    <row r="27" customFormat="false" ht="15" hidden="false" customHeight="false" outlineLevel="0" collapsed="false">
      <c r="B27" s="88" t="s">
        <v>157</v>
      </c>
      <c r="C27" s="91" t="n">
        <f aca="false">FinOriginal</f>
        <v>540</v>
      </c>
      <c r="D27" s="90" t="n">
        <f aca="false">Inicio+C27</f>
        <v>46486</v>
      </c>
      <c r="E27" s="91" t="n">
        <f aca="false">FinOriginal</f>
        <v>540</v>
      </c>
      <c r="F27" s="90" t="n">
        <f aca="false">Inicio+E27</f>
        <v>46486</v>
      </c>
      <c r="G27" s="91" t="n">
        <f aca="false">DiasConvenio</f>
        <v>589</v>
      </c>
      <c r="H27" s="90" t="n">
        <f aca="false">Inicio+G27</f>
        <v>46535</v>
      </c>
    </row>
    <row r="28" customFormat="false" ht="15" hidden="false" customHeight="false" outlineLevel="0" collapsed="false">
      <c r="B28" s="61" t="s">
        <v>158</v>
      </c>
    </row>
  </sheetData>
  <conditionalFormatting sqref="G7:G10">
    <cfRule type="cellIs" priority="2" operator="greaterThan" aboveAverage="0" equalAverage="0" bottom="0" percent="0" rank="0" text="" dxfId="2">
      <formula>0</formula>
    </cfRule>
  </conditionalFormatting>
  <conditionalFormatting sqref="G15:H18">
    <cfRule type="cellIs" priority="3" operator="notEqual" aboveAverage="0" equalAverage="0" bottom="0" percent="0" rank="0" text="" dxfId="5">
      <formula>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5B4B"/>
    <pageSetUpPr fitToPage="true"/>
  </sheetPr>
  <dimension ref="B2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46"/>
    <col collapsed="false" customWidth="true" hidden="false" outlineLevel="0" max="4" min="4" style="0" width="70"/>
    <col collapsed="false" customWidth="true" hidden="false" outlineLevel="0" max="5" min="5" style="0" width="26"/>
  </cols>
  <sheetData>
    <row r="2" customFormat="false" ht="22.05" hidden="false" customHeight="false" outlineLevel="0" collapsed="false">
      <c r="B2" s="46" t="s">
        <v>159</v>
      </c>
    </row>
    <row r="3" customFormat="false" ht="15" hidden="false" customHeight="false" outlineLevel="0" collapsed="false">
      <c r="B3" s="47" t="s">
        <v>160</v>
      </c>
    </row>
    <row r="5" customFormat="false" ht="16.15" hidden="false" customHeight="false" outlineLevel="0" collapsed="false">
      <c r="B5" s="92" t="s">
        <v>161</v>
      </c>
    </row>
    <row r="6" customFormat="false" ht="15" hidden="false" customHeight="false" outlineLevel="0" collapsed="false">
      <c r="B6" s="49" t="s">
        <v>100</v>
      </c>
      <c r="C6" s="49" t="s">
        <v>162</v>
      </c>
      <c r="D6" s="49" t="s">
        <v>163</v>
      </c>
      <c r="E6" s="49" t="s">
        <v>164</v>
      </c>
    </row>
    <row r="7" customFormat="false" ht="31.5" hidden="false" customHeight="true" outlineLevel="0" collapsed="false">
      <c r="B7" s="93" t="n">
        <v>1</v>
      </c>
      <c r="C7" s="51" t="s">
        <v>165</v>
      </c>
      <c r="D7" s="50" t="s">
        <v>166</v>
      </c>
      <c r="E7" s="50"/>
    </row>
    <row r="8" customFormat="false" ht="31.5" hidden="false" customHeight="true" outlineLevel="0" collapsed="false">
      <c r="B8" s="93" t="n">
        <v>2</v>
      </c>
      <c r="C8" s="51" t="s">
        <v>167</v>
      </c>
      <c r="D8" s="50" t="s">
        <v>168</v>
      </c>
      <c r="E8" s="50"/>
    </row>
    <row r="9" customFormat="false" ht="31.5" hidden="false" customHeight="true" outlineLevel="0" collapsed="false">
      <c r="B9" s="93" t="n">
        <v>3</v>
      </c>
      <c r="C9" s="51" t="s">
        <v>169</v>
      </c>
      <c r="D9" s="50" t="s">
        <v>170</v>
      </c>
      <c r="E9" s="50"/>
    </row>
    <row r="10" customFormat="false" ht="31.5" hidden="false" customHeight="true" outlineLevel="0" collapsed="false">
      <c r="B10" s="93" t="n">
        <v>4</v>
      </c>
      <c r="C10" s="51" t="s">
        <v>171</v>
      </c>
      <c r="D10" s="50" t="s">
        <v>172</v>
      </c>
      <c r="E10" s="50"/>
    </row>
    <row r="11" customFormat="false" ht="31.5" hidden="false" customHeight="true" outlineLevel="0" collapsed="false">
      <c r="B11" s="93" t="n">
        <v>5</v>
      </c>
      <c r="C11" s="51" t="s">
        <v>173</v>
      </c>
      <c r="D11" s="50" t="s">
        <v>174</v>
      </c>
      <c r="E11" s="50"/>
    </row>
    <row r="13" customFormat="false" ht="16.15" hidden="false" customHeight="false" outlineLevel="0" collapsed="false">
      <c r="B13" s="92" t="s">
        <v>175</v>
      </c>
    </row>
    <row r="14" customFormat="false" ht="15" hidden="false" customHeight="false" outlineLevel="0" collapsed="false">
      <c r="B14" s="49" t="s">
        <v>100</v>
      </c>
      <c r="C14" s="49" t="s">
        <v>162</v>
      </c>
      <c r="D14" s="49" t="s">
        <v>163</v>
      </c>
      <c r="E14" s="49" t="s">
        <v>164</v>
      </c>
    </row>
    <row r="15" customFormat="false" ht="31.5" hidden="false" customHeight="true" outlineLevel="0" collapsed="false">
      <c r="B15" s="93" t="n">
        <v>1</v>
      </c>
      <c r="C15" s="51" t="s">
        <v>176</v>
      </c>
      <c r="D15" s="50" t="s">
        <v>177</v>
      </c>
      <c r="E15" s="50"/>
    </row>
    <row r="16" customFormat="false" ht="31.5" hidden="false" customHeight="true" outlineLevel="0" collapsed="false">
      <c r="B16" s="93" t="n">
        <v>2</v>
      </c>
      <c r="C16" s="51" t="s">
        <v>178</v>
      </c>
      <c r="D16" s="50"/>
      <c r="E16" s="94" t="s">
        <v>179</v>
      </c>
    </row>
    <row r="17" customFormat="false" ht="31.5" hidden="false" customHeight="true" outlineLevel="0" collapsed="false">
      <c r="B17" s="93" t="n">
        <v>3</v>
      </c>
      <c r="C17" s="51" t="s">
        <v>180</v>
      </c>
      <c r="D17" s="50"/>
      <c r="E17" s="94" t="s">
        <v>181</v>
      </c>
    </row>
    <row r="18" customFormat="false" ht="31.5" hidden="false" customHeight="true" outlineLevel="0" collapsed="false">
      <c r="B18" s="93" t="n">
        <v>4</v>
      </c>
      <c r="C18" s="51" t="s">
        <v>182</v>
      </c>
      <c r="D18" s="50" t="s">
        <v>183</v>
      </c>
      <c r="E18" s="94" t="s">
        <v>184</v>
      </c>
    </row>
    <row r="19" customFormat="false" ht="31.5" hidden="false" customHeight="true" outlineLevel="0" collapsed="false">
      <c r="B19" s="93" t="n">
        <v>5</v>
      </c>
      <c r="C19" s="51" t="s">
        <v>185</v>
      </c>
      <c r="D19" s="50" t="s">
        <v>186</v>
      </c>
      <c r="E19" s="50"/>
    </row>
    <row r="20" customFormat="false" ht="31.5" hidden="false" customHeight="true" outlineLevel="0" collapsed="false">
      <c r="B20" s="93" t="n">
        <v>6</v>
      </c>
      <c r="C20" s="51" t="s">
        <v>187</v>
      </c>
      <c r="D20" s="50" t="s">
        <v>188</v>
      </c>
      <c r="E20" s="50"/>
    </row>
    <row r="21" customFormat="false" ht="31.5" hidden="false" customHeight="true" outlineLevel="0" collapsed="false">
      <c r="B21" s="93" t="n">
        <v>7</v>
      </c>
      <c r="C21" s="51" t="s">
        <v>189</v>
      </c>
      <c r="D21" s="50" t="s">
        <v>190</v>
      </c>
      <c r="E21" s="50"/>
    </row>
    <row r="22" customFormat="false" ht="31.5" hidden="false" customHeight="true" outlineLevel="0" collapsed="false">
      <c r="B22" s="93" t="n">
        <v>8</v>
      </c>
      <c r="C22" s="51" t="s">
        <v>191</v>
      </c>
      <c r="D22" s="50" t="s">
        <v>192</v>
      </c>
      <c r="E22" s="94" t="s">
        <v>193</v>
      </c>
    </row>
  </sheetData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3261E"/>
    <pageSetUpPr fitToPage="true"/>
  </sheetPr>
  <dimension ref="B2:I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0"/>
    <col collapsed="false" customWidth="true" hidden="false" outlineLevel="0" max="4" min="4" style="0" width="60"/>
    <col collapsed="false" customWidth="true" hidden="false" outlineLevel="0" max="5" min="5" style="0" width="40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13"/>
    <col collapsed="false" customWidth="true" hidden="false" outlineLevel="0" max="9" min="9" style="0" width="40"/>
  </cols>
  <sheetData>
    <row r="2" customFormat="false" ht="22.05" hidden="false" customHeight="false" outlineLevel="0" collapsed="false">
      <c r="B2" s="46" t="s">
        <v>194</v>
      </c>
    </row>
    <row r="3" customFormat="false" ht="15" hidden="false" customHeight="false" outlineLevel="0" collapsed="false">
      <c r="B3" s="47" t="s">
        <v>195</v>
      </c>
    </row>
    <row r="4" customFormat="false" ht="23.85" hidden="false" customHeight="false" outlineLevel="0" collapsed="false">
      <c r="B4" s="49" t="s">
        <v>100</v>
      </c>
      <c r="C4" s="49" t="s">
        <v>196</v>
      </c>
      <c r="D4" s="49" t="s">
        <v>163</v>
      </c>
      <c r="E4" s="49" t="s">
        <v>197</v>
      </c>
      <c r="F4" s="49" t="s">
        <v>26</v>
      </c>
      <c r="G4" s="49" t="s">
        <v>198</v>
      </c>
      <c r="H4" s="49" t="s">
        <v>199</v>
      </c>
      <c r="I4" s="49" t="s">
        <v>200</v>
      </c>
    </row>
    <row r="5" customFormat="false" ht="61.5" hidden="false" customHeight="true" outlineLevel="0" collapsed="false">
      <c r="B5" s="50" t="n">
        <v>1</v>
      </c>
      <c r="C5" s="51" t="s">
        <v>201</v>
      </c>
      <c r="D5" s="50" t="s">
        <v>202</v>
      </c>
      <c r="E5" s="50" t="s">
        <v>203</v>
      </c>
      <c r="F5" s="52" t="s">
        <v>204</v>
      </c>
      <c r="G5" s="52"/>
      <c r="H5" s="55"/>
      <c r="I5" s="52"/>
    </row>
    <row r="6" customFormat="false" ht="61.5" hidden="false" customHeight="true" outlineLevel="0" collapsed="false">
      <c r="B6" s="50" t="n">
        <v>2</v>
      </c>
      <c r="C6" s="51" t="s">
        <v>205</v>
      </c>
      <c r="D6" s="50" t="s">
        <v>206</v>
      </c>
      <c r="E6" s="50" t="s">
        <v>207</v>
      </c>
      <c r="F6" s="52" t="s">
        <v>204</v>
      </c>
      <c r="G6" s="52"/>
      <c r="H6" s="55"/>
      <c r="I6" s="52"/>
    </row>
    <row r="7" customFormat="false" ht="61.5" hidden="false" customHeight="true" outlineLevel="0" collapsed="false">
      <c r="B7" s="50" t="n">
        <v>3</v>
      </c>
      <c r="C7" s="51" t="s">
        <v>208</v>
      </c>
      <c r="D7" s="50" t="s">
        <v>209</v>
      </c>
      <c r="E7" s="50" t="s">
        <v>210</v>
      </c>
      <c r="F7" s="52" t="s">
        <v>204</v>
      </c>
      <c r="G7" s="52"/>
      <c r="H7" s="55"/>
      <c r="I7" s="52"/>
    </row>
    <row r="8" customFormat="false" ht="61.5" hidden="false" customHeight="true" outlineLevel="0" collapsed="false">
      <c r="B8" s="50" t="n">
        <v>4</v>
      </c>
      <c r="C8" s="51" t="s">
        <v>211</v>
      </c>
      <c r="D8" s="50" t="s">
        <v>212</v>
      </c>
      <c r="E8" s="50" t="s">
        <v>213</v>
      </c>
      <c r="F8" s="52" t="s">
        <v>204</v>
      </c>
      <c r="G8" s="52"/>
      <c r="H8" s="55"/>
      <c r="I8" s="52"/>
    </row>
    <row r="9" customFormat="false" ht="61.5" hidden="false" customHeight="true" outlineLevel="0" collapsed="false">
      <c r="B9" s="50" t="n">
        <v>5</v>
      </c>
      <c r="C9" s="51" t="s">
        <v>214</v>
      </c>
      <c r="D9" s="50" t="s">
        <v>215</v>
      </c>
      <c r="E9" s="50" t="s">
        <v>216</v>
      </c>
      <c r="F9" s="52" t="s">
        <v>204</v>
      </c>
      <c r="G9" s="52"/>
      <c r="H9" s="55"/>
      <c r="I9" s="52"/>
    </row>
    <row r="10" customFormat="false" ht="61.5" hidden="false" customHeight="true" outlineLevel="0" collapsed="false">
      <c r="B10" s="50" t="n">
        <v>6</v>
      </c>
      <c r="C10" s="51" t="s">
        <v>217</v>
      </c>
      <c r="D10" s="50" t="s">
        <v>218</v>
      </c>
      <c r="E10" s="50" t="s">
        <v>219</v>
      </c>
      <c r="F10" s="52" t="s">
        <v>204</v>
      </c>
      <c r="G10" s="52"/>
      <c r="H10" s="55"/>
      <c r="I10" s="52"/>
    </row>
  </sheetData>
  <conditionalFormatting sqref="F5:F10">
    <cfRule type="expression" priority="2" aboveAverage="0" equalAverage="0" bottom="0" percent="0" rank="0" text="" dxfId="2">
      <formula>F5="Vencido"</formula>
    </cfRule>
    <cfRule type="expression" priority="3" aboveAverage="0" equalAverage="0" bottom="0" percent="0" rank="0" text="" dxfId="0">
      <formula>F5="Pronto a vencer"</formula>
    </cfRule>
    <cfRule type="expression" priority="4" aboveAverage="0" equalAverage="0" bottom="0" percent="0" rank="0" text="" dxfId="3">
      <formula>F5="Por entregar"</formula>
    </cfRule>
    <cfRule type="expression" priority="5" aboveAverage="0" equalAverage="0" bottom="0" percent="0" rank="0" text="" dxfId="1">
      <formula>F5="Entregado"</formula>
    </cfRule>
    <cfRule type="expression" priority="6" aboveAverage="0" equalAverage="0" bottom="0" percent="0" rank="0" text="" dxfId="1">
      <formula>F5="Desembolsado"</formula>
    </cfRule>
    <cfRule type="expression" priority="7" aboveAverage="0" equalAverage="0" bottom="0" percent="0" rank="0" text="" dxfId="3">
      <formula>F5="Por tramitar"</formula>
    </cfRule>
    <cfRule type="expression" priority="8" aboveAverage="0" equalAverage="0" bottom="0" percent="0" rank="0" text="" dxfId="4">
      <formula>F5="Pendiente de producto"</formula>
    </cfRule>
    <cfRule type="expression" priority="9" aboveAverage="0" equalAverage="0" bottom="0" percent="0" rank="0" text="" dxfId="1">
      <formula>F5="Resuelta"</formula>
    </cfRule>
    <cfRule type="expression" priority="10" aboveAverage="0" equalAverage="0" bottom="0" percent="0" rank="0" text="" dxfId="2">
      <formula>F5="Pendiente"</formula>
    </cfRule>
    <cfRule type="expression" priority="11" aboveAverage="0" equalAverage="0" bottom="0" percent="0" rank="0" text="" dxfId="0">
      <formula>F5="En consulta"</formula>
    </cfRule>
  </conditionalFormatting>
  <dataValidations count="1">
    <dataValidation allowBlank="false" error="Elige Pendiente, En consulta o Resuelta." errorStyle="stop" operator="between" showDropDown="false" showErrorMessage="true" showInputMessage="false" sqref="F5:F10" type="list">
      <formula1>Parámetros!$L$5:$L$7</formula1>
      <formula2>0</formula2>
    </dataValidation>
  </dataValidation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A8A2"/>
    <pageSetUpPr fitToPage="true"/>
  </sheetPr>
  <dimension ref="B2:L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18"/>
    <col collapsed="false" customWidth="true" hidden="false" outlineLevel="0" max="4" min="4" style="0" width="62"/>
    <col collapsed="false" customWidth="true" hidden="false" outlineLevel="0" max="5" min="5" style="0" width="2"/>
    <col collapsed="false" customWidth="true" hidden="false" outlineLevel="0" max="6" min="6" style="0" width="18"/>
    <col collapsed="false" customWidth="true" hidden="false" outlineLevel="0" max="7" min="7" style="0" width="2"/>
    <col collapsed="false" customWidth="true" hidden="false" outlineLevel="0" max="8" min="8" style="0" width="18"/>
    <col collapsed="false" customWidth="true" hidden="false" outlineLevel="0" max="9" min="9" style="0" width="2"/>
    <col collapsed="false" customWidth="true" hidden="false" outlineLevel="0" max="10" min="10" style="0" width="18"/>
    <col collapsed="false" customWidth="true" hidden="false" outlineLevel="0" max="11" min="11" style="0" width="2"/>
    <col collapsed="false" customWidth="true" hidden="false" outlineLevel="0" max="12" min="12" style="0" width="18"/>
  </cols>
  <sheetData>
    <row r="2" customFormat="false" ht="22.05" hidden="false" customHeight="false" outlineLevel="0" collapsed="false">
      <c r="B2" s="46" t="s">
        <v>220</v>
      </c>
    </row>
    <row r="3" customFormat="false" ht="15" hidden="false" customHeight="false" outlineLevel="0" collapsed="false">
      <c r="B3" s="47" t="s">
        <v>221</v>
      </c>
    </row>
    <row r="4" customFormat="false" ht="15" hidden="false" customHeight="false" outlineLevel="0" collapsed="false">
      <c r="B4" s="49" t="s">
        <v>222</v>
      </c>
      <c r="C4" s="49" t="s">
        <v>223</v>
      </c>
      <c r="D4" s="49" t="s">
        <v>224</v>
      </c>
      <c r="F4" s="95" t="s">
        <v>225</v>
      </c>
      <c r="H4" s="95" t="s">
        <v>226</v>
      </c>
      <c r="J4" s="95" t="s">
        <v>227</v>
      </c>
      <c r="L4" s="95" t="s">
        <v>228</v>
      </c>
    </row>
    <row r="5" customFormat="false" ht="22.35" hidden="false" customHeight="false" outlineLevel="0" collapsed="false">
      <c r="B5" s="84" t="s">
        <v>229</v>
      </c>
      <c r="C5" s="96" t="n">
        <v>45946</v>
      </c>
      <c r="D5" s="97" t="s">
        <v>230</v>
      </c>
      <c r="F5" s="98" t="s">
        <v>7</v>
      </c>
      <c r="H5" s="98" t="s">
        <v>68</v>
      </c>
      <c r="J5" s="98" t="n">
        <v>15</v>
      </c>
      <c r="L5" s="98" t="s">
        <v>204</v>
      </c>
    </row>
    <row r="6" customFormat="false" ht="15" hidden="false" customHeight="false" outlineLevel="0" collapsed="false">
      <c r="B6" s="84" t="s">
        <v>231</v>
      </c>
      <c r="C6" s="99" t="n">
        <v>589</v>
      </c>
      <c r="D6" s="97" t="s">
        <v>232</v>
      </c>
      <c r="F6" s="98" t="s">
        <v>130</v>
      </c>
      <c r="H6" s="98" t="s">
        <v>76</v>
      </c>
      <c r="J6" s="98" t="n">
        <v>30</v>
      </c>
      <c r="L6" s="98" t="s">
        <v>233</v>
      </c>
    </row>
    <row r="7" customFormat="false" ht="15" hidden="false" customHeight="false" outlineLevel="0" collapsed="false">
      <c r="B7" s="84" t="s">
        <v>234</v>
      </c>
      <c r="C7" s="90" t="n">
        <f aca="false">C5+C6</f>
        <v>46535</v>
      </c>
      <c r="D7" s="97" t="s">
        <v>235</v>
      </c>
      <c r="F7" s="98" t="s">
        <v>131</v>
      </c>
      <c r="J7" s="98" t="n">
        <v>45</v>
      </c>
      <c r="L7" s="98" t="s">
        <v>236</v>
      </c>
    </row>
    <row r="8" customFormat="false" ht="15" hidden="false" customHeight="false" outlineLevel="0" collapsed="false">
      <c r="B8" s="84" t="s">
        <v>237</v>
      </c>
      <c r="C8" s="87" t="n">
        <f aca="false">SUM(Desembolsos!$B$5:$B$8)</f>
        <v>471250</v>
      </c>
      <c r="D8" s="97" t="s">
        <v>238</v>
      </c>
      <c r="F8" s="98" t="s">
        <v>132</v>
      </c>
      <c r="J8" s="98" t="n">
        <v>60</v>
      </c>
    </row>
    <row r="9" customFormat="false" ht="15" hidden="false" customHeight="false" outlineLevel="0" collapsed="false">
      <c r="B9" s="84" t="s">
        <v>239</v>
      </c>
      <c r="C9" s="100" t="n">
        <v>40000</v>
      </c>
      <c r="D9" s="97" t="s">
        <v>240</v>
      </c>
      <c r="F9" s="98" t="s">
        <v>133</v>
      </c>
    </row>
    <row r="10" customFormat="false" ht="15" hidden="false" customHeight="false" outlineLevel="0" collapsed="false">
      <c r="B10" s="84" t="s">
        <v>241</v>
      </c>
      <c r="C10" s="87" t="n">
        <f aca="false">C8+C9</f>
        <v>511250</v>
      </c>
      <c r="D10" s="97" t="s">
        <v>242</v>
      </c>
    </row>
    <row r="11" customFormat="false" ht="15" hidden="false" customHeight="false" outlineLevel="0" collapsed="false">
      <c r="B11" s="84" t="s">
        <v>243</v>
      </c>
      <c r="C11" s="101" t="n">
        <v>0.7</v>
      </c>
      <c r="D11" s="97" t="s">
        <v>244</v>
      </c>
    </row>
    <row r="12" customFormat="false" ht="15" hidden="false" customHeight="false" outlineLevel="0" collapsed="false">
      <c r="B12" s="84" t="s">
        <v>245</v>
      </c>
      <c r="C12" s="99" t="n">
        <v>540</v>
      </c>
      <c r="D12" s="97" t="s">
        <v>246</v>
      </c>
    </row>
    <row r="15" customFormat="false" ht="15" hidden="false" customHeight="false" outlineLevel="0" collapsed="false">
      <c r="B15" s="83" t="s">
        <v>247</v>
      </c>
    </row>
    <row r="16" customFormat="false" ht="15" hidden="false" customHeight="false" outlineLevel="0" collapsed="false">
      <c r="B16" s="102" t="s">
        <v>248</v>
      </c>
      <c r="C16" s="102"/>
      <c r="D16" s="102"/>
    </row>
    <row r="17" customFormat="false" ht="15" hidden="false" customHeight="false" outlineLevel="0" collapsed="false">
      <c r="B17" s="102" t="s">
        <v>249</v>
      </c>
      <c r="C17" s="102"/>
      <c r="D17" s="102"/>
    </row>
    <row r="18" customFormat="false" ht="15" hidden="false" customHeight="false" outlineLevel="0" collapsed="false">
      <c r="B18" s="102" t="s">
        <v>250</v>
      </c>
      <c r="C18" s="102"/>
      <c r="D18" s="102"/>
    </row>
    <row r="19" customFormat="false" ht="15" hidden="false" customHeight="false" outlineLevel="0" collapsed="false">
      <c r="B19" s="102" t="s">
        <v>251</v>
      </c>
      <c r="C19" s="102"/>
      <c r="D19" s="102"/>
    </row>
    <row r="20" customFormat="false" ht="15" hidden="false" customHeight="false" outlineLevel="0" collapsed="false">
      <c r="B20" s="102" t="s">
        <v>252</v>
      </c>
      <c r="C20" s="102"/>
      <c r="D20" s="102"/>
    </row>
  </sheetData>
  <mergeCells count="5">
    <mergeCell ref="B16:D16"/>
    <mergeCell ref="B17:D17"/>
    <mergeCell ref="B18:D18"/>
    <mergeCell ref="B19:D19"/>
    <mergeCell ref="B20:D20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A8A2"/>
    <pageSetUpPr fitToPage="true"/>
  </sheetPr>
  <dimension ref="B2:I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4" min="3" style="0" width="12"/>
    <col collapsed="false" customWidth="true" hidden="false" outlineLevel="0" max="5" min="5" style="0" width="14"/>
    <col collapsed="false" customWidth="true" hidden="false" outlineLevel="0" max="9" min="6" style="0" width="12"/>
  </cols>
  <sheetData>
    <row r="2" customFormat="false" ht="22.05" hidden="false" customHeight="false" outlineLevel="0" collapsed="false">
      <c r="B2" s="46" t="s">
        <v>253</v>
      </c>
    </row>
    <row r="3" customFormat="false" ht="15" hidden="false" customHeight="false" outlineLevel="0" collapsed="false">
      <c r="B3" s="47" t="s">
        <v>254</v>
      </c>
    </row>
    <row r="4" customFormat="false" ht="23.85" hidden="false" customHeight="false" outlineLevel="0" collapsed="false">
      <c r="B4" s="49" t="s">
        <v>22</v>
      </c>
      <c r="C4" s="49" t="s">
        <v>125</v>
      </c>
      <c r="D4" s="49" t="s">
        <v>130</v>
      </c>
      <c r="E4" s="49" t="s">
        <v>131</v>
      </c>
      <c r="F4" s="49" t="s">
        <v>132</v>
      </c>
      <c r="G4" s="49" t="s">
        <v>133</v>
      </c>
      <c r="H4" s="49" t="s">
        <v>128</v>
      </c>
      <c r="I4" s="49" t="s">
        <v>126</v>
      </c>
    </row>
    <row r="5" customFormat="false" ht="15" hidden="false" customHeight="false" outlineLevel="0" collapsed="false">
      <c r="B5" s="84" t="str">
        <f aca="false">Entregables!D5</f>
        <v>Producto 1</v>
      </c>
      <c r="C5" s="90" t="n">
        <f aca="false">Entregables!G5</f>
        <v>45946</v>
      </c>
      <c r="D5" s="84" t="n">
        <f aca="false">IF(Entregables!O5="Por entregar",(Entregables!H5-Entregables!G5+1),0)</f>
        <v>0</v>
      </c>
      <c r="E5" s="84" t="n">
        <f aca="false">IF(Entregables!O5="Pronto a vencer",(Entregables!H5-Entregables!G5+1),0)</f>
        <v>0</v>
      </c>
      <c r="F5" s="84" t="n">
        <f aca="false">IF(Entregables!O5="Vencido",(Entregables!H5-Entregables!G5+1),0)</f>
        <v>0</v>
      </c>
      <c r="G5" s="84" t="n">
        <f aca="false">IF(Entregables!O5="Entregado",(Entregables!H5-Entregables!G5+1),0)</f>
        <v>66</v>
      </c>
      <c r="H5" s="84" t="n">
        <v>0</v>
      </c>
      <c r="I5" s="90" t="n">
        <f aca="false">Entregables!H5</f>
        <v>46011</v>
      </c>
    </row>
    <row r="6" customFormat="false" ht="15" hidden="false" customHeight="false" outlineLevel="0" collapsed="false">
      <c r="B6" s="84" t="str">
        <f aca="false">Entregables!D6</f>
        <v>Producto 2 · Parte I</v>
      </c>
      <c r="C6" s="90" t="n">
        <f aca="false">Entregables!G6</f>
        <v>46012</v>
      </c>
      <c r="D6" s="84" t="n">
        <f aca="false">IF(Entregables!O6="Por entregar",(Entregables!H6-Entregables!G6+1),0)</f>
        <v>0</v>
      </c>
      <c r="E6" s="84" t="n">
        <f aca="false">IF(Entregables!O6="Pronto a vencer",(Entregables!H6-Entregables!G6+1),0)</f>
        <v>0</v>
      </c>
      <c r="F6" s="84" t="n">
        <f aca="false">IF(Entregables!O6="Vencido",(Entregables!H6-Entregables!G6+1),0)</f>
        <v>131</v>
      </c>
      <c r="G6" s="84" t="n">
        <f aca="false">IF(Entregables!O6="Entregado",(Entregables!H6-Entregables!G6+1),0)</f>
        <v>0</v>
      </c>
      <c r="H6" s="84" t="n">
        <v>0</v>
      </c>
      <c r="I6" s="90" t="n">
        <f aca="false">Entregables!H6</f>
        <v>46142</v>
      </c>
    </row>
    <row r="7" customFormat="false" ht="15" hidden="false" customHeight="false" outlineLevel="0" collapsed="false">
      <c r="B7" s="84" t="str">
        <f aca="false">Entregables!D7</f>
        <v>Producto 2 · Parte II</v>
      </c>
      <c r="C7" s="90" t="n">
        <f aca="false">Entregables!G7</f>
        <v>46143</v>
      </c>
      <c r="D7" s="84" t="n">
        <f aca="false">IF(Entregables!O7="Por entregar",(Entregables!H7-Entregables!G7+1),0)</f>
        <v>0</v>
      </c>
      <c r="E7" s="84" t="n">
        <f aca="false">IF(Entregables!O7="Pronto a vencer",(Entregables!H7-Entregables!G7+1),0)</f>
        <v>0</v>
      </c>
      <c r="F7" s="84" t="n">
        <f aca="false">IF(Entregables!O7="Vencido",(Entregables!H7-Entregables!G7+1),0)</f>
        <v>61</v>
      </c>
      <c r="G7" s="84" t="n">
        <f aca="false">IF(Entregables!O7="Entregado",(Entregables!H7-Entregables!G7+1),0)</f>
        <v>0</v>
      </c>
      <c r="H7" s="84" t="n">
        <v>0</v>
      </c>
      <c r="I7" s="90" t="n">
        <f aca="false">Entregables!H7</f>
        <v>46203</v>
      </c>
    </row>
    <row r="8" customFormat="false" ht="15" hidden="false" customHeight="false" outlineLevel="0" collapsed="false">
      <c r="B8" s="84" t="str">
        <f aca="false">Entregables!D8</f>
        <v>Producto 3</v>
      </c>
      <c r="C8" s="90" t="n">
        <f aca="false">Entregables!G8</f>
        <v>46204</v>
      </c>
      <c r="D8" s="84" t="n">
        <f aca="false">IF(Entregables!O8="Por entregar",(Entregables!H8-Entregables!G8+1),0)</f>
        <v>171</v>
      </c>
      <c r="E8" s="84" t="n">
        <f aca="false">IF(Entregables!O8="Pronto a vencer",(Entregables!H8-Entregables!G8+1),0)</f>
        <v>0</v>
      </c>
      <c r="F8" s="84" t="n">
        <f aca="false">IF(Entregables!O8="Vencido",(Entregables!H8-Entregables!G8+1),0)</f>
        <v>0</v>
      </c>
      <c r="G8" s="84" t="n">
        <f aca="false">IF(Entregables!O8="Entregado",(Entregables!H8-Entregables!G8+1),0)</f>
        <v>0</v>
      </c>
      <c r="H8" s="84" t="n">
        <v>0</v>
      </c>
      <c r="I8" s="90" t="n">
        <f aca="false">Entregables!H8</f>
        <v>46374</v>
      </c>
    </row>
    <row r="9" customFormat="false" ht="15" hidden="false" customHeight="false" outlineLevel="0" collapsed="false">
      <c r="B9" s="84" t="str">
        <f aca="false">Entregables!D9</f>
        <v>Producto 4</v>
      </c>
      <c r="C9" s="90" t="n">
        <f aca="false">Entregables!G9</f>
        <v>46375</v>
      </c>
      <c r="D9" s="84" t="n">
        <f aca="false">IF(Entregables!O9="Por entregar",(Entregables!H9-Entregables!G9+1),0)</f>
        <v>133</v>
      </c>
      <c r="E9" s="84" t="n">
        <f aca="false">IF(Entregables!O9="Pronto a vencer",(Entregables!H9-Entregables!G9+1),0)</f>
        <v>0</v>
      </c>
      <c r="F9" s="84" t="n">
        <f aca="false">IF(Entregables!O9="Vencido",(Entregables!H9-Entregables!G9+1),0)</f>
        <v>0</v>
      </c>
      <c r="G9" s="84" t="n">
        <f aca="false">IF(Entregables!O9="Entregado",(Entregables!H9-Entregables!G9+1),0)</f>
        <v>0</v>
      </c>
      <c r="H9" s="84" t="n">
        <v>0</v>
      </c>
      <c r="I9" s="90" t="n">
        <f aca="false">Entregables!H9</f>
        <v>46507</v>
      </c>
    </row>
    <row r="10" customFormat="false" ht="15" hidden="false" customHeight="false" outlineLevel="0" collapsed="false">
      <c r="B10" s="84" t="s">
        <v>127</v>
      </c>
      <c r="C10" s="90" t="n">
        <f aca="false">Entregables!H9+1</f>
        <v>46508</v>
      </c>
      <c r="D10" s="84" t="n">
        <v>0</v>
      </c>
      <c r="E10" s="84" t="n">
        <v>0</v>
      </c>
      <c r="F10" s="84" t="n">
        <v>0</v>
      </c>
      <c r="G10" s="84" t="n">
        <v>0</v>
      </c>
      <c r="H10" s="84" t="n">
        <f aca="false">Cierre-C10+1</f>
        <v>28</v>
      </c>
      <c r="I10" s="90" t="n">
        <f aca="false">Cierre</f>
        <v>46535</v>
      </c>
    </row>
    <row r="12" customFormat="false" ht="15" hidden="false" customHeight="false" outlineLevel="0" collapsed="false">
      <c r="B12" s="49" t="s">
        <v>255</v>
      </c>
      <c r="C12" s="49" t="s">
        <v>101</v>
      </c>
    </row>
    <row r="13" customFormat="false" ht="15" hidden="false" customHeight="false" outlineLevel="0" collapsed="false">
      <c r="B13" s="84" t="s">
        <v>256</v>
      </c>
      <c r="C13" s="87" t="n">
        <f aca="false">Desembolsos!O9</f>
        <v>0</v>
      </c>
    </row>
    <row r="14" customFormat="false" ht="15" hidden="false" customHeight="false" outlineLevel="0" collapsed="false">
      <c r="B14" s="84" t="s">
        <v>257</v>
      </c>
      <c r="C14" s="87" t="n">
        <f aca="false">Desembolsos!P9</f>
        <v>141375</v>
      </c>
    </row>
    <row r="15" customFormat="false" ht="15" hidden="false" customHeight="false" outlineLevel="0" collapsed="false">
      <c r="B15" s="84" t="s">
        <v>258</v>
      </c>
      <c r="C15" s="87" t="n">
        <f aca="false">Desembolsos!Q9</f>
        <v>329875</v>
      </c>
    </row>
    <row r="17" customFormat="false" ht="23.85" hidden="false" customHeight="false" outlineLevel="0" collapsed="false">
      <c r="B17" s="49" t="s">
        <v>28</v>
      </c>
      <c r="C17" s="49" t="s">
        <v>256</v>
      </c>
      <c r="D17" s="49" t="s">
        <v>257</v>
      </c>
      <c r="E17" s="49" t="s">
        <v>204</v>
      </c>
    </row>
    <row r="18" customFormat="false" ht="15" hidden="false" customHeight="false" outlineLevel="0" collapsed="false">
      <c r="B18" s="84" t="str">
        <f aca="false">Desembolsos!A5&amp;" · "&amp;TEXT(Desembolsos!C5*100,"0")&amp;" %"</f>
        <v>D1 · 30 %</v>
      </c>
      <c r="C18" s="87" t="n">
        <f aca="false">Desembolsos!O5</f>
        <v>0</v>
      </c>
      <c r="D18" s="87" t="n">
        <f aca="false">Desembolsos!P5</f>
        <v>141375</v>
      </c>
      <c r="E18" s="87" t="n">
        <f aca="false">Desembolsos!Q5</f>
        <v>0</v>
      </c>
    </row>
    <row r="19" customFormat="false" ht="15" hidden="false" customHeight="false" outlineLevel="0" collapsed="false">
      <c r="B19" s="84" t="str">
        <f aca="false">Desembolsos!A6&amp;" · "&amp;TEXT(Desembolsos!C6*100,"0")&amp;" %"</f>
        <v>D2 · 30 %</v>
      </c>
      <c r="C19" s="87" t="n">
        <f aca="false">Desembolsos!O6</f>
        <v>0</v>
      </c>
      <c r="D19" s="87" t="n">
        <f aca="false">Desembolsos!P6</f>
        <v>0</v>
      </c>
      <c r="E19" s="87" t="n">
        <f aca="false">Desembolsos!Q6</f>
        <v>141375</v>
      </c>
    </row>
    <row r="20" customFormat="false" ht="15" hidden="false" customHeight="false" outlineLevel="0" collapsed="false">
      <c r="B20" s="84" t="str">
        <f aca="false">Desembolsos!A7&amp;" · "&amp;TEXT(Desembolsos!C7*100,"0")&amp;" %"</f>
        <v>D3 · 25 %</v>
      </c>
      <c r="C20" s="87" t="n">
        <f aca="false">Desembolsos!O7</f>
        <v>0</v>
      </c>
      <c r="D20" s="87" t="n">
        <f aca="false">Desembolsos!P7</f>
        <v>0</v>
      </c>
      <c r="E20" s="87" t="n">
        <f aca="false">Desembolsos!Q7</f>
        <v>117812</v>
      </c>
    </row>
    <row r="21" customFormat="false" ht="15" hidden="false" customHeight="false" outlineLevel="0" collapsed="false">
      <c r="B21" s="84" t="str">
        <f aca="false">Desembolsos!A8&amp;" · "&amp;TEXT(Desembolsos!C8*100,"0")&amp;" %"</f>
        <v>D4 · 15 %</v>
      </c>
      <c r="C21" s="87" t="n">
        <f aca="false">Desembolsos!O8</f>
        <v>0</v>
      </c>
      <c r="D21" s="87" t="n">
        <f aca="false">Desembolsos!P8</f>
        <v>0</v>
      </c>
      <c r="E21" s="87" t="n">
        <f aca="false">Desembolsos!Q8</f>
        <v>70688</v>
      </c>
    </row>
    <row r="23" customFormat="false" ht="15" hidden="false" customHeight="false" outlineLevel="0" collapsed="false">
      <c r="B23" s="49" t="s">
        <v>259</v>
      </c>
      <c r="C23" s="49" t="s">
        <v>260</v>
      </c>
    </row>
    <row r="24" customFormat="false" ht="15" hidden="false" customHeight="false" outlineLevel="0" collapsed="false">
      <c r="B24" s="84" t="s">
        <v>130</v>
      </c>
      <c r="C24" s="84" t="n">
        <f aca="false">COUNTIF(Entregables!$O$5:$O$9,"Por entregar")</f>
        <v>2</v>
      </c>
    </row>
    <row r="25" customFormat="false" ht="15" hidden="false" customHeight="false" outlineLevel="0" collapsed="false">
      <c r="B25" s="84" t="s">
        <v>131</v>
      </c>
      <c r="C25" s="84" t="n">
        <f aca="false">COUNTIF(Entregables!$O$5:$O$9,"Pronto a vencer")</f>
        <v>0</v>
      </c>
    </row>
    <row r="26" customFormat="false" ht="15" hidden="false" customHeight="false" outlineLevel="0" collapsed="false">
      <c r="B26" s="84" t="s">
        <v>132</v>
      </c>
      <c r="C26" s="84" t="n">
        <f aca="false">COUNTIF(Entregables!$O$5:$O$9,"Vencido")</f>
        <v>2</v>
      </c>
    </row>
    <row r="27" customFormat="false" ht="15" hidden="false" customHeight="false" outlineLevel="0" collapsed="false">
      <c r="B27" s="84" t="s">
        <v>133</v>
      </c>
      <c r="C27" s="84" t="n">
        <f aca="false">COUNTIF(Entregables!$O$5:$O$9,"Entregado")</f>
        <v>1</v>
      </c>
    </row>
    <row r="29" customFormat="false" ht="15" hidden="false" customHeight="false" outlineLevel="0" collapsed="false">
      <c r="B29" s="49" t="s">
        <v>261</v>
      </c>
      <c r="C29" s="49" t="s">
        <v>223</v>
      </c>
    </row>
    <row r="30" customFormat="false" ht="15" hidden="false" customHeight="false" outlineLevel="0" collapsed="false">
      <c r="B30" s="84" t="s">
        <v>262</v>
      </c>
      <c r="C30" s="90" t="n">
        <f aca="false">_xlfn.MINIFS(Entregables!$H$5:$H$9,Entregables!$L$5:$L$9,"&lt;&gt;Sí",Entregables!$H$5:$H$9,"&gt;="&amp;FechaRef)</f>
        <v>46374</v>
      </c>
    </row>
    <row r="31" customFormat="false" ht="15" hidden="false" customHeight="false" outlineLevel="0" collapsed="false">
      <c r="B31" s="84" t="s">
        <v>263</v>
      </c>
      <c r="C31" s="84" t="str">
        <f aca="false">IF(C30=0,"",INDEX(Entregables!$D$5:$D$9,MATCH(C30,Entregables!$H$5:$H$9,0)))</f>
        <v>Producto 3</v>
      </c>
    </row>
    <row r="32" customFormat="false" ht="15" hidden="false" customHeight="false" outlineLevel="0" collapsed="false">
      <c r="B32" s="84" t="s">
        <v>264</v>
      </c>
      <c r="C32" s="91" t="n">
        <f aca="false">IF(C30=0,"",C30-FechaRef)</f>
        <v>65</v>
      </c>
    </row>
    <row r="33" customFormat="false" ht="15" hidden="false" customHeight="false" outlineLevel="0" collapsed="false">
      <c r="B33" s="84" t="s">
        <v>265</v>
      </c>
      <c r="C33" s="91" t="n">
        <f aca="false">COUNTIF(Entregables!$O$5:$O$9,"Vencido")</f>
        <v>2</v>
      </c>
    </row>
    <row r="34" customFormat="false" ht="15" hidden="false" customHeight="false" outlineLevel="0" collapsed="false">
      <c r="B34" s="84" t="s">
        <v>266</v>
      </c>
      <c r="C34" s="91" t="n">
        <f aca="false">COUNTIF(Entregables!$O$5:$O$9,"Entregado")</f>
        <v>1</v>
      </c>
    </row>
    <row r="35" customFormat="false" ht="15" hidden="false" customHeight="false" outlineLevel="0" collapsed="false">
      <c r="B35" s="84" t="s">
        <v>267</v>
      </c>
      <c r="C35" s="85" t="n">
        <f aca="false">SUMIF(Entregables!$O$5:$O$9,"Entregado",Entregables!$J$5:$J$9)</f>
        <v>0.3</v>
      </c>
    </row>
    <row r="36" customFormat="false" ht="15" hidden="false" customHeight="false" outlineLevel="0" collapsed="false">
      <c r="B36" s="84" t="s">
        <v>268</v>
      </c>
      <c r="C36" s="85" t="n">
        <f aca="false">IF(TotalCARE=0,0,C13/TotalCARE)</f>
        <v>0</v>
      </c>
    </row>
    <row r="37" customFormat="false" ht="15" hidden="false" customHeight="false" outlineLevel="0" collapsed="false">
      <c r="B37" s="84" t="s">
        <v>269</v>
      </c>
      <c r="C37" s="85" t="n">
        <f aca="false">MAX(0,MIN(1,(FechaRef-Inicio)/DiasConvenio))</f>
        <v>0.616298811544992</v>
      </c>
    </row>
    <row r="38" customFormat="false" ht="15" hidden="false" customHeight="false" outlineLevel="0" collapsed="false">
      <c r="B38" s="84" t="s">
        <v>270</v>
      </c>
      <c r="C38" s="91" t="n">
        <f aca="false">Cierre-FechaRef</f>
        <v>226</v>
      </c>
    </row>
    <row r="39" customFormat="false" ht="15" hidden="false" customHeight="false" outlineLevel="0" collapsed="false">
      <c r="B39" s="84" t="s">
        <v>271</v>
      </c>
      <c r="C39" s="91" t="n">
        <f aca="false">COUNTIF(Dudas!$F$5:$F$10,"&lt;&gt;Resuelta")</f>
        <v>6</v>
      </c>
    </row>
    <row r="40" customFormat="false" ht="15" hidden="false" customHeight="false" outlineLevel="0" collapsed="false">
      <c r="B40" s="84" t="s">
        <v>272</v>
      </c>
      <c r="C40" s="91" t="n">
        <f aca="false">COUNTIF(Entregables!$S$5:$S$9,TRUE())</f>
        <v>5</v>
      </c>
    </row>
    <row r="41" customFormat="false" ht="15" hidden="false" customHeight="false" outlineLevel="0" collapsed="false">
      <c r="B41" s="84" t="s">
        <v>273</v>
      </c>
      <c r="C41" s="91" t="n">
        <f aca="false">IFERROR(MATCH(ProdSel,Entregables!$D$5:$D$9,0),1)</f>
        <v>3</v>
      </c>
    </row>
  </sheetData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2026-10-14T11:30:13Z</dcterms:created>
  <dc:creator>openpyxl</dc:creator>
  <dc:description/>
  <dc:language>en-US</dc:language>
  <cp:lastModifiedBy/>
  <dcterms:modified xsi:type="dcterms:W3CDTF">2026-10-14T11:30:15Z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